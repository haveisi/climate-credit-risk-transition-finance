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veis\OneDrive - UWSP\ESG\Finace emission\"/>
    </mc:Choice>
  </mc:AlternateContent>
  <xr:revisionPtr revIDLastSave="0" documentId="8_{8BFE7E7C-5326-44DF-963E-15173CDDF3B0}" xr6:coauthVersionLast="47" xr6:coauthVersionMax="47" xr10:uidLastSave="{00000000-0000-0000-0000-000000000000}"/>
  <bookViews>
    <workbookView xWindow="-120" yWindow="-120" windowWidth="29040" windowHeight="15720" firstSheet="10" activeTab="15" xr2:uid="{00000000-000D-0000-FFFF-FFFF00000000}"/>
  </bookViews>
  <sheets>
    <sheet name="README" sheetId="1" r:id="rId1"/>
    <sheet name="Source Register" sheetId="2" r:id="rId2"/>
    <sheet name="Financial Baseline" sheetId="3" r:id="rId3"/>
    <sheet name="Climate Risk Framework" sheetId="4" r:id="rId4"/>
    <sheet name="Wholesale Credit Heatmap" sheetId="5" r:id="rId5"/>
    <sheet name="Carbon Intensity Targets" sheetId="6" r:id="rId6"/>
    <sheet name="Financed Emissions" sheetId="7" r:id="rId7"/>
    <sheet name="Nature Social Risk" sheetId="8" r:id="rId8"/>
    <sheet name="Risk Priority" sheetId="9" r:id="rId9"/>
    <sheet name="QA Controls" sheetId="10" r:id="rId10"/>
    <sheet name="Analyst Questions" sheetId="11" r:id="rId11"/>
    <sheet name="Dashboard" sheetId="12" r:id="rId12"/>
    <sheet name="Credit Risk Concepts" sheetId="13" r:id="rId13"/>
    <sheet name="O&amp;G Scenario Inputs" sheetId="14" r:id="rId14"/>
    <sheet name="O&amp;G Borrower Stress Test" sheetId="15" r:id="rId15"/>
    <sheet name="O&amp;G Portfolio Translation"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6" l="1"/>
  <c r="U15" i="15"/>
  <c r="Q15" i="15"/>
  <c r="I15" i="15"/>
  <c r="G15" i="15"/>
  <c r="F15" i="15"/>
  <c r="C15" i="15"/>
  <c r="D15" i="15" s="1"/>
  <c r="B15" i="15"/>
  <c r="A15" i="15"/>
  <c r="Q14" i="15"/>
  <c r="I14" i="15"/>
  <c r="C14" i="15"/>
  <c r="G14" i="15" s="1"/>
  <c r="B14" i="15"/>
  <c r="A14" i="15"/>
  <c r="U13" i="15"/>
  <c r="T13" i="15"/>
  <c r="Q13" i="15"/>
  <c r="B8" i="16" s="1"/>
  <c r="I13" i="15"/>
  <c r="G13" i="15"/>
  <c r="F13" i="15"/>
  <c r="D13" i="15"/>
  <c r="H13" i="15" s="1"/>
  <c r="J13" i="15" s="1"/>
  <c r="C13" i="15"/>
  <c r="B13" i="15"/>
  <c r="N13" i="15" s="1"/>
  <c r="O13" i="15" s="1"/>
  <c r="A13" i="15"/>
  <c r="Q12" i="15"/>
  <c r="I12" i="15"/>
  <c r="G12" i="15"/>
  <c r="F12" i="15"/>
  <c r="U12" i="15" s="1"/>
  <c r="C12" i="15"/>
  <c r="B12" i="15"/>
  <c r="A12" i="15"/>
  <c r="Q11" i="15"/>
  <c r="I11" i="15"/>
  <c r="F11" i="15"/>
  <c r="D11" i="15" s="1"/>
  <c r="C11" i="15"/>
  <c r="G11" i="15" s="1"/>
  <c r="B11" i="15"/>
  <c r="U11" i="15" s="1"/>
  <c r="A11" i="15"/>
  <c r="U10" i="15"/>
  <c r="T10" i="15"/>
  <c r="Q10" i="15"/>
  <c r="N10" i="15"/>
  <c r="O10" i="15" s="1"/>
  <c r="I10" i="15"/>
  <c r="C10" i="15"/>
  <c r="F10" i="15" s="1"/>
  <c r="B10" i="15"/>
  <c r="A10" i="15"/>
  <c r="Q9" i="15"/>
  <c r="B10" i="16" s="1"/>
  <c r="I9" i="15"/>
  <c r="C9" i="15"/>
  <c r="G9" i="15" s="1"/>
  <c r="B9" i="15"/>
  <c r="A9" i="15"/>
  <c r="Q8" i="15"/>
  <c r="B9" i="16" s="1"/>
  <c r="I8" i="15"/>
  <c r="C8" i="15"/>
  <c r="G8" i="15" s="1"/>
  <c r="B8" i="15"/>
  <c r="A8" i="15"/>
  <c r="Q7" i="15"/>
  <c r="I7" i="15"/>
  <c r="C7" i="15"/>
  <c r="F7" i="15" s="1"/>
  <c r="B7" i="15"/>
  <c r="N7" i="15" s="1"/>
  <c r="O7" i="15" s="1"/>
  <c r="A7" i="15"/>
  <c r="J20" i="12"/>
  <c r="I20" i="12"/>
  <c r="J19" i="12"/>
  <c r="I19" i="12"/>
  <c r="J18" i="12"/>
  <c r="J17" i="12"/>
  <c r="J16" i="12"/>
  <c r="F13" i="12"/>
  <c r="D13" i="12"/>
  <c r="A13" i="12"/>
  <c r="E12" i="12"/>
  <c r="D12" i="12"/>
  <c r="A12" i="12"/>
  <c r="F11" i="12"/>
  <c r="D11" i="12"/>
  <c r="A11" i="12"/>
  <c r="E10" i="12"/>
  <c r="D10" i="12"/>
  <c r="A10" i="12"/>
  <c r="F9" i="12"/>
  <c r="E9" i="12"/>
  <c r="D9" i="12"/>
  <c r="A9" i="12"/>
  <c r="E4" i="12"/>
  <c r="A4" i="12"/>
  <c r="L8" i="9"/>
  <c r="J8" i="9"/>
  <c r="I8" i="9"/>
  <c r="H8" i="9"/>
  <c r="G8" i="9"/>
  <c r="K8" i="9" s="1"/>
  <c r="F8" i="9"/>
  <c r="E13" i="12" s="1"/>
  <c r="E8" i="9"/>
  <c r="M8" i="9" s="1"/>
  <c r="J7" i="9"/>
  <c r="I7" i="9"/>
  <c r="H7" i="9"/>
  <c r="F12" i="12" s="1"/>
  <c r="G7" i="9"/>
  <c r="K7" i="9" s="1"/>
  <c r="F7" i="9"/>
  <c r="E7" i="9"/>
  <c r="L6" i="9"/>
  <c r="J6" i="9"/>
  <c r="I6" i="9"/>
  <c r="H6" i="9"/>
  <c r="F6" i="9"/>
  <c r="E11" i="12" s="1"/>
  <c r="E6" i="9"/>
  <c r="J5" i="9"/>
  <c r="I5" i="9"/>
  <c r="H5" i="9"/>
  <c r="L5" i="9" s="1"/>
  <c r="F5" i="9"/>
  <c r="E5" i="9"/>
  <c r="J4" i="9"/>
  <c r="I4" i="9"/>
  <c r="H4" i="9"/>
  <c r="L4" i="9" s="1"/>
  <c r="F4" i="9"/>
  <c r="E4" i="9"/>
  <c r="F15" i="8"/>
  <c r="G15" i="8" s="1"/>
  <c r="G14" i="8"/>
  <c r="F14" i="8"/>
  <c r="F13" i="8"/>
  <c r="G13" i="8" s="1"/>
  <c r="F12" i="8"/>
  <c r="G12" i="8" s="1"/>
  <c r="F11" i="8"/>
  <c r="G11" i="8" s="1"/>
  <c r="G10" i="8"/>
  <c r="F10" i="8"/>
  <c r="J12" i="7"/>
  <c r="J11" i="7"/>
  <c r="J10" i="7"/>
  <c r="J9" i="7"/>
  <c r="J8" i="7"/>
  <c r="J7" i="7"/>
  <c r="J6" i="7"/>
  <c r="J5" i="7"/>
  <c r="J4" i="7"/>
  <c r="K12" i="6"/>
  <c r="J12" i="6"/>
  <c r="K11" i="6"/>
  <c r="J11" i="6"/>
  <c r="K10" i="6"/>
  <c r="J10" i="6"/>
  <c r="K9" i="6"/>
  <c r="J9" i="6"/>
  <c r="K8" i="6"/>
  <c r="J8" i="6"/>
  <c r="K7" i="6"/>
  <c r="J7" i="6"/>
  <c r="G6" i="9" s="1"/>
  <c r="K6" i="9" s="1"/>
  <c r="K6" i="6"/>
  <c r="J6" i="6"/>
  <c r="G5" i="9" s="1"/>
  <c r="K5" i="9" s="1"/>
  <c r="K5" i="6"/>
  <c r="J5" i="6"/>
  <c r="I16" i="12" s="1"/>
  <c r="K4" i="6"/>
  <c r="J4" i="6"/>
  <c r="F22" i="5"/>
  <c r="G22" i="5" s="1"/>
  <c r="E22" i="5"/>
  <c r="F21" i="5"/>
  <c r="E21" i="5"/>
  <c r="G21" i="5" s="1"/>
  <c r="F20" i="5"/>
  <c r="E20" i="5"/>
  <c r="G20" i="5" s="1"/>
  <c r="F19" i="5"/>
  <c r="E19" i="5"/>
  <c r="G19" i="5" s="1"/>
  <c r="F18" i="5"/>
  <c r="E18" i="5"/>
  <c r="G18" i="5" s="1"/>
  <c r="F17" i="5"/>
  <c r="E17" i="5"/>
  <c r="G17" i="5" s="1"/>
  <c r="I16" i="5"/>
  <c r="G16" i="5"/>
  <c r="H16" i="5" s="1"/>
  <c r="F16" i="5"/>
  <c r="E16" i="5"/>
  <c r="F15" i="5"/>
  <c r="E15" i="5"/>
  <c r="G15" i="5" s="1"/>
  <c r="F14" i="5"/>
  <c r="E14" i="5"/>
  <c r="G14" i="5" s="1"/>
  <c r="F13" i="5"/>
  <c r="G13" i="5" s="1"/>
  <c r="E13" i="5"/>
  <c r="F12" i="5"/>
  <c r="E12" i="5"/>
  <c r="G12" i="5" s="1"/>
  <c r="F11" i="5"/>
  <c r="E11" i="5"/>
  <c r="G11" i="5" s="1"/>
  <c r="G10" i="5"/>
  <c r="I10" i="5" s="1"/>
  <c r="F10" i="5"/>
  <c r="E10" i="5"/>
  <c r="F9" i="5"/>
  <c r="E9" i="5"/>
  <c r="G9" i="5" s="1"/>
  <c r="F8" i="5"/>
  <c r="E8" i="5"/>
  <c r="G8" i="5" s="1"/>
  <c r="F7" i="5"/>
  <c r="G7" i="5" s="1"/>
  <c r="E7" i="5"/>
  <c r="F6" i="5"/>
  <c r="G6" i="5" s="1"/>
  <c r="E6" i="5"/>
  <c r="F5" i="5"/>
  <c r="E5" i="5"/>
  <c r="G5" i="5" s="1"/>
  <c r="F4" i="5"/>
  <c r="E4" i="5"/>
  <c r="G4" i="5" s="1"/>
  <c r="C22" i="3"/>
  <c r="D22" i="3" s="1"/>
  <c r="B22" i="3"/>
  <c r="C21" i="3"/>
  <c r="D21" i="3" s="1"/>
  <c r="B21" i="3"/>
  <c r="C20" i="3"/>
  <c r="D20" i="3" s="1"/>
  <c r="B20" i="3"/>
  <c r="C19" i="3"/>
  <c r="D19" i="3" s="1"/>
  <c r="B19" i="3"/>
  <c r="H18" i="5" l="1"/>
  <c r="I18" i="5"/>
  <c r="H4" i="5"/>
  <c r="I4" i="5"/>
  <c r="I12" i="5"/>
  <c r="H12" i="5"/>
  <c r="I19" i="5"/>
  <c r="H19" i="5"/>
  <c r="M5" i="9"/>
  <c r="H20" i="5"/>
  <c r="I20" i="5"/>
  <c r="I13" i="5"/>
  <c r="H13" i="5"/>
  <c r="I5" i="5"/>
  <c r="H5" i="5"/>
  <c r="I6" i="5"/>
  <c r="H6" i="5"/>
  <c r="I14" i="5"/>
  <c r="H14" i="5"/>
  <c r="I21" i="5"/>
  <c r="H21" i="5"/>
  <c r="H11" i="5"/>
  <c r="I11" i="5"/>
  <c r="I15" i="5"/>
  <c r="H15" i="5"/>
  <c r="T15" i="15"/>
  <c r="I9" i="5"/>
  <c r="H9" i="5"/>
  <c r="M6" i="9"/>
  <c r="N8" i="9"/>
  <c r="C13" i="12" s="1"/>
  <c r="B13" i="12"/>
  <c r="H15" i="15"/>
  <c r="J15" i="15" s="1"/>
  <c r="E15" i="15"/>
  <c r="K15" i="15"/>
  <c r="M15" i="15"/>
  <c r="P15" i="15" s="1"/>
  <c r="L15" i="15"/>
  <c r="I7" i="5"/>
  <c r="H7" i="5"/>
  <c r="M7" i="9"/>
  <c r="M11" i="15"/>
  <c r="P11" i="15" s="1"/>
  <c r="L11" i="15"/>
  <c r="K11" i="15"/>
  <c r="H11" i="15"/>
  <c r="J11" i="15" s="1"/>
  <c r="E11" i="15"/>
  <c r="I8" i="5"/>
  <c r="H8" i="5"/>
  <c r="I22" i="5"/>
  <c r="H22" i="5"/>
  <c r="I17" i="5"/>
  <c r="H17" i="5"/>
  <c r="F10" i="12"/>
  <c r="D7" i="15"/>
  <c r="T7" i="15"/>
  <c r="G4" i="9"/>
  <c r="K4" i="9" s="1"/>
  <c r="M4" i="9" s="1"/>
  <c r="G7" i="15"/>
  <c r="D14" i="15"/>
  <c r="T11" i="15"/>
  <c r="U14" i="15"/>
  <c r="I17" i="12"/>
  <c r="K13" i="15"/>
  <c r="F14" i="15"/>
  <c r="U7" i="15"/>
  <c r="G10" i="15"/>
  <c r="L13" i="15"/>
  <c r="D10" i="15"/>
  <c r="E13" i="15"/>
  <c r="I18" i="12"/>
  <c r="F8" i="15"/>
  <c r="D8" i="15" s="1"/>
  <c r="M13" i="15"/>
  <c r="P13" i="15" s="1"/>
  <c r="R13" i="15" s="1"/>
  <c r="S13" i="15" s="1"/>
  <c r="L7" i="9"/>
  <c r="D12" i="15"/>
  <c r="D9" i="15"/>
  <c r="F9" i="15"/>
  <c r="U9" i="15" s="1"/>
  <c r="H10" i="5"/>
  <c r="L8" i="15" l="1"/>
  <c r="K8" i="15"/>
  <c r="H8" i="15"/>
  <c r="J8" i="15" s="1"/>
  <c r="M8" i="15"/>
  <c r="P8" i="15" s="1"/>
  <c r="E8" i="15"/>
  <c r="N11" i="15"/>
  <c r="O11" i="15" s="1"/>
  <c r="R11" i="15" s="1"/>
  <c r="S11" i="15" s="1"/>
  <c r="U8" i="15"/>
  <c r="H12" i="15"/>
  <c r="J12" i="15" s="1"/>
  <c r="E12" i="15"/>
  <c r="M12" i="15"/>
  <c r="P12" i="15" s="1"/>
  <c r="L12" i="15"/>
  <c r="K12" i="15"/>
  <c r="N12" i="15" s="1"/>
  <c r="O12" i="15" s="1"/>
  <c r="M14" i="15"/>
  <c r="P14" i="15" s="1"/>
  <c r="L14" i="15"/>
  <c r="K14" i="15"/>
  <c r="H14" i="15"/>
  <c r="J14" i="15" s="1"/>
  <c r="T14" i="15" s="1"/>
  <c r="E14" i="15"/>
  <c r="E9" i="15"/>
  <c r="L9" i="15"/>
  <c r="H9" i="15"/>
  <c r="J9" i="15" s="1"/>
  <c r="K9" i="15"/>
  <c r="M9" i="15"/>
  <c r="P9" i="15" s="1"/>
  <c r="B12" i="12"/>
  <c r="N7" i="9"/>
  <c r="C12" i="12" s="1"/>
  <c r="N4" i="9"/>
  <c r="C9" i="12" s="1"/>
  <c r="B9" i="12"/>
  <c r="M7" i="15"/>
  <c r="P7" i="15" s="1"/>
  <c r="R7" i="15" s="1"/>
  <c r="L7" i="15"/>
  <c r="K7" i="15"/>
  <c r="J8" i="16" s="1"/>
  <c r="E7" i="15"/>
  <c r="H7" i="15"/>
  <c r="J7" i="15" s="1"/>
  <c r="I8" i="16" s="1"/>
  <c r="M10" i="15"/>
  <c r="P10" i="15" s="1"/>
  <c r="R10" i="15" s="1"/>
  <c r="S10" i="15" s="1"/>
  <c r="L10" i="15"/>
  <c r="K10" i="15"/>
  <c r="H10" i="15"/>
  <c r="J10" i="15" s="1"/>
  <c r="E10" i="15"/>
  <c r="B10" i="12"/>
  <c r="N5" i="9"/>
  <c r="C10" i="12" s="1"/>
  <c r="N15" i="15"/>
  <c r="O15" i="15" s="1"/>
  <c r="R15" i="15" s="1"/>
  <c r="S15" i="15" s="1"/>
  <c r="N6" i="9"/>
  <c r="C11" i="12" s="1"/>
  <c r="B11" i="12"/>
  <c r="N14" i="15" l="1"/>
  <c r="O14" i="15" s="1"/>
  <c r="R14" i="15" s="1"/>
  <c r="S14" i="15" s="1"/>
  <c r="R12" i="15"/>
  <c r="S12" i="15" s="1"/>
  <c r="C8" i="16"/>
  <c r="D8" i="16" s="1"/>
  <c r="F8" i="16" s="1"/>
  <c r="S7" i="15"/>
  <c r="T12" i="15"/>
  <c r="I10" i="16"/>
  <c r="T9" i="15"/>
  <c r="I9" i="16"/>
  <c r="T8" i="15"/>
  <c r="N8" i="15"/>
  <c r="O8" i="15" s="1"/>
  <c r="R8" i="15" s="1"/>
  <c r="J9" i="16"/>
  <c r="J10" i="16"/>
  <c r="N9" i="15"/>
  <c r="O9" i="15" s="1"/>
  <c r="R9" i="15" s="1"/>
  <c r="S9" i="15" l="1"/>
  <c r="C10" i="16"/>
  <c r="D10" i="16" s="1"/>
  <c r="S8" i="15"/>
  <c r="C9" i="16"/>
  <c r="D9" i="16" s="1"/>
  <c r="K9" i="16" l="1"/>
  <c r="F9" i="16"/>
  <c r="K10" i="16"/>
  <c r="F10" i="16"/>
</calcChain>
</file>

<file path=xl/sharedStrings.xml><?xml version="1.0" encoding="utf-8"?>
<sst xmlns="http://schemas.openxmlformats.org/spreadsheetml/2006/main" count="883" uniqueCount="635">
  <si>
    <t>JPMorganChase Climate, Nature &amp; Social Risk Analyst Practice Project</t>
  </si>
  <si>
    <t>Project objective</t>
  </si>
  <si>
    <t>Primary question</t>
  </si>
  <si>
    <t>Data basis</t>
  </si>
  <si>
    <t>Analysis level</t>
  </si>
  <si>
    <t>Core methods</t>
  </si>
  <si>
    <t>Primary tools</t>
  </si>
  <si>
    <t>Current status</t>
  </si>
  <si>
    <t>Important limitation</t>
  </si>
  <si>
    <t>Use JPMorganChase public disclosures to identify and prioritize climate, nature and social risk signals that could matter to a bank's traditional risk framework.</t>
  </si>
  <si>
    <t>Which disclosed sectors and risk drivers deserve deeper monitoring, and why?</t>
  </si>
  <si>
    <t>JPMorganChase 2024 Sustainability Report, 2024 Climate Report, 2024 Sustainability Data Tables, 2025 Annual Report / Form 10-K, GHG Protocol Category 15 guidance.</t>
  </si>
  <si>
    <t>Public sector-level / firm-level practice analysis</t>
  </si>
  <si>
    <t>Risk mapping; exposure screening; carbon-intensity target gap; financed-emissions concentration; data-quality review; risk-control design</t>
  </si>
  <si>
    <t>Excel first; Python and Power BI later</t>
  </si>
  <si>
    <t>Phase 1 starter workbook populated with reported data</t>
  </si>
  <si>
    <t>This is not JPMorganChase internal risk analysis. Public disclosures do not provide counterparty-level exposure, probability of default, loss given default, collateral-level hazard data, or internal model parameters.</t>
  </si>
  <si>
    <t>The analyst workflow</t>
  </si>
  <si>
    <t>1</t>
  </si>
  <si>
    <t>Frame the risk question</t>
  </si>
  <si>
    <t>Start with a banking-risk question, not an ESG metric.</t>
  </si>
  <si>
    <t>2</t>
  </si>
  <si>
    <t>Establish data lineage</t>
  </si>
  <si>
    <t>Separate audited financials, sustainability metrics, methodology guidance, and analyst assumptions.</t>
  </si>
  <si>
    <t>3</t>
  </si>
  <si>
    <t>Map climate drivers to traditional risks</t>
  </si>
  <si>
    <t>Translate physical and transition drivers into credit/investment, market, operational, and strategic risk channels.</t>
  </si>
  <si>
    <t>4</t>
  </si>
  <si>
    <t>Screen sector exposure</t>
  </si>
  <si>
    <t>Use disclosed wholesale credit exposure plus transition/physical vulnerability indicators.</t>
  </si>
  <si>
    <t>5</t>
  </si>
  <si>
    <t>Assess transition metrics</t>
  </si>
  <si>
    <t>Compare current portfolio carbon intensity with baseline and 2030 target.</t>
  </si>
  <si>
    <t>6</t>
  </si>
  <si>
    <t>Assess financed-emissions signals</t>
  </si>
  <si>
    <t>Examine absolute financed emissions, economic intensity, and PCAF data-quality scores.</t>
  </si>
  <si>
    <t>7</t>
  </si>
  <si>
    <t>Add nature/social controls</t>
  </si>
  <si>
    <t>Use screening, due diligence, residual-risk assessment, and escalation logic.</t>
  </si>
  <si>
    <t>8</t>
  </si>
  <si>
    <t>QA before conclusions</t>
  </si>
  <si>
    <t>Check boundary, year, unit, overlap, methodology, and data quality.</t>
  </si>
  <si>
    <t>9</t>
  </si>
  <si>
    <t>Write management insight</t>
  </si>
  <si>
    <t>State what deserves monitoring, what the evidence supports, and what cannot be concluded from public data.</t>
  </si>
  <si>
    <t>First assignment</t>
  </si>
  <si>
    <t>Use the Dashboard and Risk Priority sheets to answer: Which disclosed JPMorganChase sectors show the strongest combination of financial exposure, transition-risk vulnerability, physical-risk vulnerability, carbon-intensity target pressure, and financed-emissions intensity? Then identify the data limitations that prevent you from calling those sectors 'high credit risk.'</t>
  </si>
  <si>
    <t>Source Register &amp; Data Lineage</t>
  </si>
  <si>
    <t>Source ID</t>
  </si>
  <si>
    <t>File / source</t>
  </si>
  <si>
    <t>Type</t>
  </si>
  <si>
    <t>Reporting year</t>
  </si>
  <si>
    <t>Relevant pages / sheet</t>
  </si>
  <si>
    <t>Primary use</t>
  </si>
  <si>
    <t>Authority</t>
  </si>
  <si>
    <t>Loaded?</t>
  </si>
  <si>
    <t>Analyst note</t>
  </si>
  <si>
    <t>AR25</t>
  </si>
  <si>
    <t>annualreport-2025.pdf</t>
  </si>
  <si>
    <t>Annual report</t>
  </si>
  <si>
    <t>Financial Highlights p.2; risk/financial sections</t>
  </si>
  <si>
    <t>Firm financial baseline and scale</t>
  </si>
  <si>
    <t>Company annual report</t>
  </si>
  <si>
    <t>Yes</t>
  </si>
  <si>
    <t>Use audited/official financial figures where available.</t>
  </si>
  <si>
    <t>10K25</t>
  </si>
  <si>
    <t>corp-10k-2025.pdf</t>
  </si>
  <si>
    <t>SEC Form 10-K</t>
  </si>
  <si>
    <t>Business; risk factors; MD&amp;A; financial statements</t>
  </si>
  <si>
    <t>Regulatory financial/risk context</t>
  </si>
  <si>
    <t>SEC filing</t>
  </si>
  <si>
    <t>Primary authoritative source for 2025 financial reporting.</t>
  </si>
  <si>
    <t>SUS24</t>
  </si>
  <si>
    <t>jpmc-sustainability-report-2024.pdf</t>
  </si>
  <si>
    <t>Sustainability report</t>
  </si>
  <si>
    <t>pp. 22-24; 49-63</t>
  </si>
  <si>
    <t>Climate, nature/social risk framework; climate metrics; PCAF metrics</t>
  </si>
  <si>
    <t>Company report</t>
  </si>
  <si>
    <t>All report data generally as of Dec. 31, 2024 unless noted.</t>
  </si>
  <si>
    <t>CLIM24</t>
  </si>
  <si>
    <t>Climate-Report-2024.pdf</t>
  </si>
  <si>
    <t>Climate report</t>
  </si>
  <si>
    <t>pp. 16-32</t>
  </si>
  <si>
    <t>Prior-year climate framework, targets and methodology context</t>
  </si>
  <si>
    <t>Useful for methodology evolution and 2023 comparison.</t>
  </si>
  <si>
    <t>DATA24</t>
  </si>
  <si>
    <t>sustainability-2024-data-tables.xlsx</t>
  </si>
  <si>
    <t>Structured data tables</t>
  </si>
  <si>
    <t>Carbon Intensity Targets; Absolute Financed &amp; Facilitated; Wholesale Credit Heat Map; ESFR</t>
  </si>
  <si>
    <t>Primary structured ESG/climate dataset</t>
  </si>
  <si>
    <t>Company data table</t>
  </si>
  <si>
    <t>Preferred for workbook calculations because values are structured.</t>
  </si>
  <si>
    <t>GHG15</t>
  </si>
  <si>
    <t>Chapter15.pdf</t>
  </si>
  <si>
    <t>GHG Protocol technical guidance</t>
  </si>
  <si>
    <t>Category 15 Investments</t>
  </si>
  <si>
    <t>Conceptual accounting guidance for investments</t>
  </si>
  <si>
    <t>GHG Protocol guidance</t>
  </si>
  <si>
    <t>Used for conceptual grounding; JPMorganChase PCAF methodology is the disclosed operational basis for financed-emissions metrics.</t>
  </si>
  <si>
    <t>Financial Baseline - JPMorganChase Reported Financials</t>
  </si>
  <si>
    <t>Metric</t>
  </si>
  <si>
    <t>Unit</t>
  </si>
  <si>
    <t>2023</t>
  </si>
  <si>
    <t>2024</t>
  </si>
  <si>
    <t>2025</t>
  </si>
  <si>
    <t>Source page / note</t>
  </si>
  <si>
    <t>Total net revenue</t>
  </si>
  <si>
    <t>$ millions</t>
  </si>
  <si>
    <t>p.2</t>
  </si>
  <si>
    <t>Total noninterest expense</t>
  </si>
  <si>
    <t>Provision for credit losses</t>
  </si>
  <si>
    <t>Net income</t>
  </si>
  <si>
    <t>Loans</t>
  </si>
  <si>
    <t>Total assets</t>
  </si>
  <si>
    <t>Deposits</t>
  </si>
  <si>
    <t>Common stockholders' equity</t>
  </si>
  <si>
    <t>Total stockholders' equity</t>
  </si>
  <si>
    <t>Market capitalization</t>
  </si>
  <si>
    <t>CET1 capital ratio</t>
  </si>
  <si>
    <t>%</t>
  </si>
  <si>
    <t>Return on common equity</t>
  </si>
  <si>
    <t>Derived context</t>
  </si>
  <si>
    <t>Change</t>
  </si>
  <si>
    <t>Interpretation</t>
  </si>
  <si>
    <t>Loan growth increases the size of exposures that risk management must monitor.</t>
  </si>
  <si>
    <t>Asset growth provides scale context; climate metrics should not be confused with total balance-sheet exposure.</t>
  </si>
  <si>
    <t>Earnings are an outcome metric; climate risk analysis asks how risk drivers could affect future earnings/capital/liquidity.</t>
  </si>
  <si>
    <t>Credit-loss provisioning is a traditional credit-risk metric; public climate disclosures do not isolate a climate-attributable portion.</t>
  </si>
  <si>
    <t>Climate Risk Framework - Driver to Traditional Risk</t>
  </si>
  <si>
    <t>Definitions</t>
  </si>
  <si>
    <t>Term</t>
  </si>
  <si>
    <t>JPMorganChase framing</t>
  </si>
  <si>
    <t>Physical risk</t>
  </si>
  <si>
    <t>Economic costs and financial losses due to a changing climate. Includes acute, chronic and indirect/second-order drivers.</t>
  </si>
  <si>
    <t>Transition risk</t>
  </si>
  <si>
    <t>Financial and economic consequences of society's shift toward a low-carbon economy, including policy, technology and consumer-preference changes.</t>
  </si>
  <si>
    <t>Risk transmission examples from 2024 Sustainability Report</t>
  </si>
  <si>
    <t>Traditional risk type</t>
  </si>
  <si>
    <t>Risk definition / focus</t>
  </si>
  <si>
    <t>Physical - first order</t>
  </si>
  <si>
    <t>Physical - second order</t>
  </si>
  <si>
    <t>Transition - first order</t>
  </si>
  <si>
    <t>Transition - second order</t>
  </si>
  <si>
    <t>Analyst translation</t>
  </si>
  <si>
    <t>Source</t>
  </si>
  <si>
    <t>Credit &amp; investment</t>
  </si>
  <si>
    <t>Default/change in credit profile; principal loss or lower expected investment return</t>
  </si>
  <si>
    <t>Severe weather can damage collateral and interrupt borrower income.</t>
  </si>
  <si>
    <t>Rising damage can raise insurance cost or reduce availability, pressuring asset values.</t>
  </si>
  <si>
    <t>Demand shifts away from carbon-intensive products can reduce profitability of slow-to-adapt clients.</t>
  </si>
  <si>
    <t>Weak local economies dependent on carbon-intensive industries can raise unemployment and default risk.</t>
  </si>
  <si>
    <t>Translate driver into borrower cash flow, collateral value, insurance availability, PD/LGD direction and concentration.</t>
  </si>
  <si>
    <t>SUS24 p.51</t>
  </si>
  <si>
    <t>Market</t>
  </si>
  <si>
    <t>Changes in rates, FX, equity/commodity prices, credit spreads or volatility affect asset/liability values.</t>
  </si>
  <si>
    <t>Catastrophe losses could impair an insurer and collapse its equity value.</t>
  </si>
  <si>
    <t>Insurance availability concerns can pressure home prices, mortgage performance and MBS values.</t>
  </si>
  <si>
    <t>EV demand can hurt equity value of slow-transition auto manufacturers.</t>
  </si>
  <si>
    <t>EV supply-chain constraints can raise commodity prices and volatility.</t>
  </si>
  <si>
    <t>Translate driver into price, spread, volatility, hedging and valuation channels.</t>
  </si>
  <si>
    <t>Operational</t>
  </si>
  <si>
    <t>Adverse outcome from failed processes/systems, human factors or external events; includes compliance, legal and model risk.</t>
  </si>
  <si>
    <t>Flood/cyclone could damage a JPMorganChase facility and disrupt operations.</t>
  </si>
  <si>
    <t>Migration from repeatedly affected regions could create hiring/retention challenges.</t>
  </si>
  <si>
    <t>New climate models and regulatory expectations can increase compliance/model risk.</t>
  </si>
  <si>
    <t>Fast-evolving legal landscape can increase scrutiny, litigation and legal cost.</t>
  </si>
  <si>
    <t>Translate driver into business continuity, model risk, compliance cost, legal exposure and control requirements.</t>
  </si>
  <si>
    <t>SUS24 pp.51-52</t>
  </si>
  <si>
    <t>Strategic</t>
  </si>
  <si>
    <t>Risk to earnings, capital, liquidity or reputation from poor plans or inadequate response to operating-environment changes.</t>
  </si>
  <si>
    <t>Property investments may face higher physical damage, repair costs and lower profitability.</t>
  </si>
  <si>
    <t>Mortgage expansion in areas with insurance retreat can reduce revenues.</t>
  </si>
  <si>
    <t>Failure to capture green opportunities or retain traditional-energy clients can weaken business performance.</t>
  </si>
  <si>
    <t>Failure to adapt can weaken status as a leading banking partner.</t>
  </si>
  <si>
    <t>Translate driver into revenue mix, client retention, product strategy, capital allocation and reputation.</t>
  </si>
  <si>
    <t>SUS24 p.52</t>
  </si>
  <si>
    <t>Framework capabilities</t>
  </si>
  <si>
    <t>Risk Governance</t>
  </si>
  <si>
    <t>Scenario Analysis</t>
  </si>
  <si>
    <t>Risk Identification</t>
  </si>
  <si>
    <t>Risk Measurement</t>
  </si>
  <si>
    <t>Data Management</t>
  </si>
  <si>
    <t>Reporting &amp; Disclosures</t>
  </si>
  <si>
    <t>Escalation and oversight</t>
  </si>
  <si>
    <t>NGFS/IPCC and internal scenarios</t>
  </si>
  <si>
    <t>Identify vulnerable sectors, clients and exposures</t>
  </si>
  <si>
    <t>Quantify impacts within traditional risk types</t>
  </si>
  <si>
    <t>Build reliable data, taxonomy and controls</t>
  </si>
  <si>
    <t>Communicate methods, metrics, assumptions and limitations</t>
  </si>
  <si>
    <t>Wholesale Credit Exposure &amp; Climate Vulnerability Screening - Dec. 31, 2024</t>
  </si>
  <si>
    <t>Sector</t>
  </si>
  <si>
    <t>Credit exposure ($mm)</t>
  </si>
  <si>
    <t>Transition score</t>
  </si>
  <si>
    <t>Physical score</t>
  </si>
  <si>
    <t>Combined vulnerability score</t>
  </si>
  <si>
    <t>Exposure x vulnerability ($mm-score)</t>
  </si>
  <si>
    <t>Screening status</t>
  </si>
  <si>
    <t>Commercial &amp; Industrial</t>
  </si>
  <si>
    <t>Moderate</t>
  </si>
  <si>
    <t>DATA24 / Wholesale Credit Heat Map</t>
  </si>
  <si>
    <t>Consumer &amp; Retail</t>
  </si>
  <si>
    <t>Low</t>
  </si>
  <si>
    <t>Food &amp; Beverage</t>
  </si>
  <si>
    <t>Technology, Media &amp; Telecommunications</t>
  </si>
  <si>
    <t>Industrials</t>
  </si>
  <si>
    <t>Agriculture, Forest Products &amp; Textiles</t>
  </si>
  <si>
    <t>High</t>
  </si>
  <si>
    <t>Aerospace &amp; Defense</t>
  </si>
  <si>
    <t>Healthcare</t>
  </si>
  <si>
    <t>Oil &amp; Gas</t>
  </si>
  <si>
    <t>Auto Manufacturing</t>
  </si>
  <si>
    <t>Electric</t>
  </si>
  <si>
    <t>Very high</t>
  </si>
  <si>
    <t>Gas</t>
  </si>
  <si>
    <t>Chemicals</t>
  </si>
  <si>
    <t>Steel</t>
  </si>
  <si>
    <t>Aluminum</t>
  </si>
  <si>
    <t>Coal</t>
  </si>
  <si>
    <t>Transportation</t>
  </si>
  <si>
    <t>Financial Institutions</t>
  </si>
  <si>
    <t>N/A</t>
  </si>
  <si>
    <t>Real Estate</t>
  </si>
  <si>
    <t>Important: The exposure values above are public sector/subsector disclosures. Some rows can overlap hierarchically in the source heat map, so do not sum them blindly. JPMorganChase states the heat-map categories reflect sector-level vulnerability and should not be interpreted as a direct assessment of the Firm's own portfolio vulnerability or any individual counterparty.</t>
  </si>
  <si>
    <t>Portfolio Carbon Intensity Targets - Progress as of Dec. 31, 2024</t>
  </si>
  <si>
    <t>Scopes included</t>
  </si>
  <si>
    <t>Baseline year</t>
  </si>
  <si>
    <t>Baseline intensity</t>
  </si>
  <si>
    <t>2030 target intensity / change</t>
  </si>
  <si>
    <t>2024 intensity</t>
  </si>
  <si>
    <t>Change from baseline</t>
  </si>
  <si>
    <t>Required total reduction</t>
  </si>
  <si>
    <t>Progress achieved</t>
  </si>
  <si>
    <t>Remaining gap to target</t>
  </si>
  <si>
    <t>Energy Mix</t>
  </si>
  <si>
    <t>Scope 3 (end use)</t>
  </si>
  <si>
    <t>gCO2/MJ</t>
  </si>
  <si>
    <t>DATA24 / Carbon Intensity Targets</t>
  </si>
  <si>
    <t>Oil &amp; Gas Operational</t>
  </si>
  <si>
    <t>Scopes 1 and 2</t>
  </si>
  <si>
    <t>gCO2e/MJ</t>
  </si>
  <si>
    <t>Electric Power</t>
  </si>
  <si>
    <t>Scope 1</t>
  </si>
  <si>
    <t>kgCO2/MWh</t>
  </si>
  <si>
    <t>Scopes 1, 2 and 3 (tank-to-wheel)</t>
  </si>
  <si>
    <t>gCO2e/km</t>
  </si>
  <si>
    <t>Aviation</t>
  </si>
  <si>
    <t>Scope 1 (tank-to-wake)</t>
  </si>
  <si>
    <t>gCO2/RTK</t>
  </si>
  <si>
    <t>Shipping</t>
  </si>
  <si>
    <t>gCO2/t-nm</t>
  </si>
  <si>
    <t>Iron &amp; Steel</t>
  </si>
  <si>
    <t>tCO2e/t crude steel</t>
  </si>
  <si>
    <t>Cement</t>
  </si>
  <si>
    <t>kgCO2e/t cementitious product</t>
  </si>
  <si>
    <t>tCO2e/t aluminum</t>
  </si>
  <si>
    <t>Analyst flags</t>
  </si>
  <si>
    <t>Flag</t>
  </si>
  <si>
    <t>Condition</t>
  </si>
  <si>
    <t>Action</t>
  </si>
  <si>
    <t>Moving away from baseline</t>
  </si>
  <si>
    <t>Change from baseline &gt; 0</t>
  </si>
  <si>
    <t>Portfolio intensity increased rather than declined.</t>
  </si>
  <si>
    <t>Investigate exposure mix, client intensity and methodology changes.</t>
  </si>
  <si>
    <t>Low progress</t>
  </si>
  <si>
    <t>Progress achieved &lt; 50%</t>
  </si>
  <si>
    <t>Less than half of required reduction has been achieved.</t>
  </si>
  <si>
    <t>Assess trajectory, client transition plans and external prerequisites.</t>
  </si>
  <si>
    <t>Boundary mismatch</t>
  </si>
  <si>
    <t>Scopes differ by sector</t>
  </si>
  <si>
    <t>Carbon intensities are not directly comparable across sectors.</t>
  </si>
  <si>
    <t>Do not rank sectors by raw intensity values across different units/boundaries.</t>
  </si>
  <si>
    <t>Methodology change</t>
  </si>
  <si>
    <t>Revised baselines / data updates</t>
  </si>
  <si>
    <t>Trend can move because of data-quality or methodology changes.</t>
  </si>
  <si>
    <t>Preserve version history and document restatements.</t>
  </si>
  <si>
    <t>PCAF-Aligned Absolute Financed Emissions - Reported 2024</t>
  </si>
  <si>
    <t>Committed lending financed emissions (MtCO2e)</t>
  </si>
  <si>
    <t>Capital markets facilitated emissions (MtCO2e)</t>
  </si>
  <si>
    <t>Committed lending economic intensity (tCO2e/$1mm)</t>
  </si>
  <si>
    <t>Capital markets economic intensity (tCO2e/$1mm)</t>
  </si>
  <si>
    <t>Data quality score</t>
  </si>
  <si>
    <t>Outstanding lending financed emissions (MtCO2e)</t>
  </si>
  <si>
    <t>Outstanding lending economic intensity (tCO2e/$1mm)</t>
  </si>
  <si>
    <t>Analyst flag</t>
  </si>
  <si>
    <t>DATA24 / Absolute Financed &amp; Facilitated</t>
  </si>
  <si>
    <t>Oil and Gas Operational</t>
  </si>
  <si>
    <t>Methodology notes you must remember</t>
  </si>
  <si>
    <t>Outstanding exposure</t>
  </si>
  <si>
    <t>PCAF-aligned table defines financed emissions using outstanding exposure / company value x company emissions. Outstanding exposure is the loan amount drawn as of year-end.</t>
  </si>
  <si>
    <t>Company value</t>
  </si>
  <si>
    <t>EVIC is used; if unavailable, JPMorganChase uses total company equity + debt, with negative equity treated as zero.</t>
  </si>
  <si>
    <t>Facilitated emissions</t>
  </si>
  <si>
    <t>Capital-markets facilitated emissions use transaction attribution and a 33% weighting factor in the PCAF-aligned table.</t>
  </si>
  <si>
    <t>Economic intensity</t>
  </si>
  <si>
    <t>Absolute emissions per $1 million loaned or facilitated.</t>
  </si>
  <si>
    <t>Data quality</t>
  </si>
  <si>
    <t>1 = highest quality; 5 = lowest. Sector value is financing-weighted.</t>
  </si>
  <si>
    <t>Do not equate emissions with risk</t>
  </si>
  <si>
    <t>High financed emissions can be a transition-risk indicator, but they do not directly measure probability of default or expected loss.</t>
  </si>
  <si>
    <t>Nature &amp; Social Risk - Screening, Assessment and Escalation</t>
  </si>
  <si>
    <t>Stage</t>
  </si>
  <si>
    <t>Purpose</t>
  </si>
  <si>
    <t>What is reviewed</t>
  </si>
  <si>
    <t>Example N&amp;S topics</t>
  </si>
  <si>
    <t>Risk question</t>
  </si>
  <si>
    <t>Possible outcome</t>
  </si>
  <si>
    <t>Analyst evidence</t>
  </si>
  <si>
    <t>1. Screening</t>
  </si>
  <si>
    <t>Identify potentially material N&amp;S risks</t>
  </si>
  <si>
    <t>Relevant clients and transactions using N&amp;S Risk Taxonomy and activity/location criteria</t>
  </si>
  <si>
    <t>Biodiversity; air; soil; water; labor and working conditions; health &amp; safety; security; Indigenous Peoples; human rights</t>
  </si>
  <si>
    <t>Is this client/transaction associated with elevated N&amp;S risk?</t>
  </si>
  <si>
    <t>Proceed / require deeper review</t>
  </si>
  <si>
    <t>Sector/activity/location; transaction purpose; client profile</t>
  </si>
  <si>
    <t>SUS24 p.57</t>
  </si>
  <si>
    <t>2. Assessment</t>
  </si>
  <si>
    <t>Understand severity and mitigation</t>
  </si>
  <si>
    <t>Severity, client capability, policies, governance, risk management, stakeholder engagement and residual risk</t>
  </si>
  <si>
    <t>Same topics, evaluated at client/transaction level</t>
  </si>
  <si>
    <t>How severe is the risk, how well is it managed, and what residual risk remains?</t>
  </si>
  <si>
    <t>Risk mitigation conditions / support / decline / escalate</t>
  </si>
  <si>
    <t>Policies; incidents; management systems; controversy history; stakeholder evidence</t>
  </si>
  <si>
    <t>3. Escalation &amp; challenge</t>
  </si>
  <si>
    <t>Independent review of higher-risk cases</t>
  </si>
  <si>
    <t>LOB assessment challenged by dedicated Risk Management function</t>
  </si>
  <si>
    <t>Higher-risk clients and transactions</t>
  </si>
  <si>
    <t>Is residual risk within risk appetite and commercial interests?</t>
  </si>
  <si>
    <t>Case-by-case decision</t>
  </si>
  <si>
    <t>Escalation memo; challenge record; decision rationale</t>
  </si>
  <si>
    <t>Practice case template - fill this in after climate screening</t>
  </si>
  <si>
    <t>Case ID</t>
  </si>
  <si>
    <t>Sector / client proxy</t>
  </si>
  <si>
    <t>N&amp;S driver</t>
  </si>
  <si>
    <t>Severity (1-5)</t>
  </si>
  <si>
    <t>Client management quality (1-5)</t>
  </si>
  <si>
    <t>Residual risk score</t>
  </si>
  <si>
    <t>Escalate?</t>
  </si>
  <si>
    <t>Your rationale</t>
  </si>
  <si>
    <t>Integrated Sector Risk Priority - Practice Screening</t>
  </si>
  <si>
    <t>Vulnerability score</t>
  </si>
  <si>
    <t>2024 carbon-intensity change</t>
  </si>
  <si>
    <t>Progress toward 2030 target</t>
  </si>
  <si>
    <t>Outstanding financed-emissions intensity</t>
  </si>
  <si>
    <t>PCAF data quality</t>
  </si>
  <si>
    <t>Exposure score</t>
  </si>
  <si>
    <t>Transition metric score</t>
  </si>
  <si>
    <t>Emissions score</t>
  </si>
  <si>
    <t>Composite screening score</t>
  </si>
  <si>
    <t>This composite score is an analyst training construct, not a JPMorganChase risk rating. It combines public sector exposure and climate metrics using transparent weights solely to prioritize where to investigate next. It must not be interpreted as probability of default, expected loss, regulatory capital, or JPMorganChase's internal risk appetite.</t>
  </si>
  <si>
    <t>QA / Control Matrix</t>
  </si>
  <si>
    <t>Control ID</t>
  </si>
  <si>
    <t>Risk</t>
  </si>
  <si>
    <t>Control objective</t>
  </si>
  <si>
    <t>Test</t>
  </si>
  <si>
    <t>Expected result</t>
  </si>
  <si>
    <t>Current result</t>
  </si>
  <si>
    <t>Status</t>
  </si>
  <si>
    <t>Owner</t>
  </si>
  <si>
    <t>Evidence</t>
  </si>
  <si>
    <t>Exception</t>
  </si>
  <si>
    <t>Remediation</t>
  </si>
  <si>
    <t>C01</t>
  </si>
  <si>
    <t>Wrong reporting year</t>
  </si>
  <si>
    <t>Keep financial and climate dates explicit</t>
  </si>
  <si>
    <t>Compare source year/date for each dataset</t>
  </si>
  <si>
    <t>Dates documented; no silent mixing</t>
  </si>
  <si>
    <t>Financial baseline 2025 vs climate metrics 2024 disclosed separately</t>
  </si>
  <si>
    <t>Pass</t>
  </si>
  <si>
    <t>Source Register</t>
  </si>
  <si>
    <t>C02</t>
  </si>
  <si>
    <t>Sector overlap / double counting</t>
  </si>
  <si>
    <t>Avoid summing parent and child heat-map rows</t>
  </si>
  <si>
    <t>Review sector hierarchy before aggregation</t>
  </si>
  <si>
    <t>No unsupported portfolio total</t>
  </si>
  <si>
    <t>Workbook warns against blind summation</t>
  </si>
  <si>
    <t>Wholesale Credit Heatmap</t>
  </si>
  <si>
    <t>C03</t>
  </si>
  <si>
    <t>Scope / unit mismatch</t>
  </si>
  <si>
    <t>Do not compare raw intensities across incompatible sectors</t>
  </si>
  <si>
    <t>Check scope and unit before cross-sector ranking</t>
  </si>
  <si>
    <t>Boundary/units retained with each row</t>
  </si>
  <si>
    <t>Scope and unit columns populated</t>
  </si>
  <si>
    <t>Carbon Intensity Targets</t>
  </si>
  <si>
    <t>C04</t>
  </si>
  <si>
    <t>Financed emissions mistaken for risk</t>
  </si>
  <si>
    <t>Separate emissions attribution from credit risk</t>
  </si>
  <si>
    <t>Check conclusions for PD/LGD claims</t>
  </si>
  <si>
    <t>No credit-risk claim without borrower-level evidence</t>
  </si>
  <si>
    <t>Explicit limitation included</t>
  </si>
  <si>
    <t>README / Financed Emissions</t>
  </si>
  <si>
    <t>C05</t>
  </si>
  <si>
    <t>Low-quality emissions data</t>
  </si>
  <si>
    <t>Surface PCAF quality score</t>
  </si>
  <si>
    <t>Flag sectors with score &gt;3</t>
  </si>
  <si>
    <t>Review or caveat low-quality data</t>
  </si>
  <si>
    <t>Formula flag included</t>
  </si>
  <si>
    <t>Financed Emissions</t>
  </si>
  <si>
    <t>C06</t>
  </si>
  <si>
    <t>Preserve revised baselines / definitions</t>
  </si>
  <si>
    <t>Compare current and prior methodology notes</t>
  </si>
  <si>
    <t>Restatements documented</t>
  </si>
  <si>
    <t>Shipping revision noted in source data</t>
  </si>
  <si>
    <t>Review</t>
  </si>
  <si>
    <t>C07</t>
  </si>
  <si>
    <t>Unsupported N&amp;S conclusion</t>
  </si>
  <si>
    <t>Require evidence and challenge</t>
  </si>
  <si>
    <t>Check screening/assessment/escalation documentation</t>
  </si>
  <si>
    <t>Higher-risk cases have rationale</t>
  </si>
  <si>
    <t>Practice template ready</t>
  </si>
  <si>
    <t>Not started</t>
  </si>
  <si>
    <t>Nature Social Risk</t>
  </si>
  <si>
    <t>Analyst Questions - Work Through in Order</t>
  </si>
  <si>
    <t>#</t>
  </si>
  <si>
    <t>Question</t>
  </si>
  <si>
    <t>Why it matters</t>
  </si>
  <si>
    <t>Sheet(s) to use</t>
  </si>
  <si>
    <t>Your answer</t>
  </si>
  <si>
    <t>Confidence</t>
  </si>
  <si>
    <t>Manager challenge</t>
  </si>
  <si>
    <t>What is the bank's financial scale, and which balance-sheet metric is most relevant to a lending-risk discussion?</t>
  </si>
  <si>
    <t>Establishes financial context before climate interpretation.</t>
  </si>
  <si>
    <t>Financial Baseline</t>
  </si>
  <si>
    <t>How does JPMorganChase define physical and transition climate risk?</t>
  </si>
  <si>
    <t>Tests whether you understand the bank's own risk language.</t>
  </si>
  <si>
    <t>Climate Risk Framework</t>
  </si>
  <si>
    <t>How can climate drivers transmit into credit/investment, market, operational and strategic risk?</t>
  </si>
  <si>
    <t>This is core to the role.</t>
  </si>
  <si>
    <t>Which disclosed sectors have the strongest combination of transition and physical vulnerability?</t>
  </si>
  <si>
    <t>Identifies where deeper work should start.</t>
  </si>
  <si>
    <t>Which target sectors are moving away from their baselines or showing weak progress?</t>
  </si>
  <si>
    <t>Finds transition-pathway pressure.</t>
  </si>
  <si>
    <t>Which sectors have the highest financed-emissions economic intensity, and what does that indicate?</t>
  </si>
  <si>
    <t>Connects PCAF metrics to transition-risk screening without overstating them.</t>
  </si>
  <si>
    <t>How does PCAF data quality alter your confidence in the emissions signal?</t>
  </si>
  <si>
    <t>Avoids false precision.</t>
  </si>
  <si>
    <t>Which sector would you prioritize for a deep dive when combining exposure, vulnerability and transition metrics?</t>
  </si>
  <si>
    <t>Forces prioritization, not description.</t>
  </si>
  <si>
    <t>Risk Priority</t>
  </si>
  <si>
    <t>What additional counterparty-level data would you request before estimating credit loss?</t>
  </si>
  <si>
    <t>Shows you know what public data cannot answer.</t>
  </si>
  <si>
    <t>README / Risk Priority</t>
  </si>
  <si>
    <t>How would you screen, assess and escalate a nature or social risk in the same sector?</t>
  </si>
  <si>
    <t>Broadens from climate into the full CN&amp;S role.</t>
  </si>
  <si>
    <t>JPMorganChase CN&amp;S Risk Practice Dashboard</t>
  </si>
  <si>
    <t>2025 Total Assets ($mm)</t>
  </si>
  <si>
    <t>2025 Loans ($mm)</t>
  </si>
  <si>
    <t>2024 ESFR</t>
  </si>
  <si>
    <t>1.13x</t>
  </si>
  <si>
    <t>Integrated screening - sectors for deeper analysis</t>
  </si>
  <si>
    <t>What the dashboard does NOT prove</t>
  </si>
  <si>
    <t>Composite score</t>
  </si>
  <si>
    <t>2024 intensity change</t>
  </si>
  <si>
    <t>Outstanding FE intensity</t>
  </si>
  <si>
    <t>No counterparty PD / LGD</t>
  </si>
  <si>
    <t>No collateral-level physical hazard</t>
  </si>
  <si>
    <t>No borrower financial stress model</t>
  </si>
  <si>
    <t>Sector heat map is vulnerability screening, not direct portfolio risk rating</t>
  </si>
  <si>
    <t>Financed emissions are attribution metrics, not expected-loss metrics</t>
  </si>
  <si>
    <t>2024 change from baseline</t>
  </si>
  <si>
    <t>Credit Risk Concepts for Climate Stress Testing</t>
  </si>
  <si>
    <t>Concept</t>
  </si>
  <si>
    <t>Formula / definition</t>
  </si>
  <si>
    <t>Plain-English meaning</t>
  </si>
  <si>
    <t>Why climate can affect it</t>
  </si>
  <si>
    <t>Good / bad direction</t>
  </si>
  <si>
    <t>Used in this model?</t>
  </si>
  <si>
    <t>Important caveat</t>
  </si>
  <si>
    <t>Source basis</t>
  </si>
  <si>
    <t>EAD — Exposure at Default</t>
  </si>
  <si>
    <t>Amount outstanding when default occurs</t>
  </si>
  <si>
    <t>How much the bank could be exposed to if the borrower defaults.</t>
  </si>
  <si>
    <t>Drawdowns or stressed liquidity needs can increase exposure.</t>
  </si>
  <si>
    <t>Lower is generally safer</t>
  </si>
  <si>
    <t>Real banks model EAD by product and credit facility; our practice model uses current exposure.</t>
  </si>
  <si>
    <t>Credit-risk concept; public JPM data do not disclose counterparty EAD.</t>
  </si>
  <si>
    <t>PD — Probability of Default</t>
  </si>
  <si>
    <t>Probability borrower defaults over a defined horizon</t>
  </si>
  <si>
    <t>Chance the borrower fails to meet obligations.</t>
  </si>
  <si>
    <t>Lower revenue, weaker margins, higher costs and technology disruption can weaken credit quality.</t>
  </si>
  <si>
    <t>Lower is better</t>
  </si>
  <si>
    <t>Our stressed PD is a training heuristic, not JPMorganChase's internal rating methodology.</t>
  </si>
  <si>
    <t>JPMorganChase states transition scenarios may affect client credit ratings.</t>
  </si>
  <si>
    <t>LGD — Loss Given Default</t>
  </si>
  <si>
    <t>% of EAD lost if default occurs</t>
  </si>
  <si>
    <t>How much the bank loses after recoveries/collateral.</t>
  </si>
  <si>
    <t>Physical damage, falling collateral values or weaker recovery markets can increase LGD.</t>
  </si>
  <si>
    <t>Our stressed LGD adjustment is illustrative.</t>
  </si>
  <si>
    <t>JPMorganChase discusses collateral damage and property values as credit channels.</t>
  </si>
  <si>
    <t>Expected Credit Loss</t>
  </si>
  <si>
    <t>PD × LGD × EAD</t>
  </si>
  <si>
    <t>Expected loss from credit risk under simplified one-period logic.</t>
  </si>
  <si>
    <t>Climate stress can change PD, LGD and sometimes EAD.</t>
  </si>
  <si>
    <t>Accounting CECL/ECL frameworks are more complex than this simple teaching equation.</t>
  </si>
  <si>
    <t>Training bridge from climate drivers to financial loss.</t>
  </si>
  <si>
    <t>EBITDA margin</t>
  </si>
  <si>
    <t>EBITDA ÷ Revenue</t>
  </si>
  <si>
    <t>Operating earnings before interest, tax, depreciation and amortization per dollar of revenue.</t>
  </si>
  <si>
    <t>Demand loss, pricing pressure, carbon costs and operating costs can compress margin.</t>
  </si>
  <si>
    <t>Higher is better</t>
  </si>
  <si>
    <t>Sector-specific accounting and hedging can materially change outcomes.</t>
  </si>
  <si>
    <t>JPMorganChase cites lower revenue and higher operating costs as transition channels.</t>
  </si>
  <si>
    <t>Interest coverage</t>
  </si>
  <si>
    <t>EBITDA ÷ Interest expense</t>
  </si>
  <si>
    <t>How many times operating earnings cover interest.</t>
  </si>
  <si>
    <t>Falling EBITDA reduces debt-service cushion.</t>
  </si>
  <si>
    <t>Real credit analysis may use EBIT, FFO, fixed-charge coverage or other sector metrics.</t>
  </si>
  <si>
    <t>Training metric.</t>
  </si>
  <si>
    <t>Net leverage</t>
  </si>
  <si>
    <t>(Debt − Cash) ÷ EBITDA</t>
  </si>
  <si>
    <t>Debt burden relative to earnings.</t>
  </si>
  <si>
    <t>If EBITDA falls, leverage rises even when debt is unchanged.</t>
  </si>
  <si>
    <t>Oil &amp; gas analysts may use additional reserve / production metrics.</t>
  </si>
  <si>
    <t>DSCR</t>
  </si>
  <si>
    <t>Cash flow available for debt service ÷ Interest + scheduled principal</t>
  </si>
  <si>
    <t>Ability to cover required debt payments with cash flow.</t>
  </si>
  <si>
    <t>Transition capex and lower cash flow can reduce debt-service capacity.</t>
  </si>
  <si>
    <t>Our CFADS is simplified and not a bank covenant calculation.</t>
  </si>
  <si>
    <t>Core mental model</t>
  </si>
  <si>
    <t>Climate driver → borrower revenue / costs / capex / asset value → EBITDA &amp; cash flow → leverage / interest coverage / DSCR → credit rating or PD → expected credit loss. JPMorganChase states that for sectors more vulnerable to transition risk, including Oil &amp; Gas, it projects detailed client cash flows within a transition scenario and estimates potential impacts on credit ratings. Our model reproduces that analytical logic at a simplified training level; it does not reproduce JPMorganChase's internal model.</t>
  </si>
  <si>
    <t>Oil &amp; Gas Transition Scenario Inputs — Training Assumptions</t>
  </si>
  <si>
    <t>Source-derived framework: JPMorganChase uses baseline and stress climate scenarios, including NGFS-informed transition pathways, and notes that Oil &amp; Gas client financials may be affected through weaker demand, lower revenue, carbon taxes / higher operating costs and additional capital expenditures. The numerical shocks below are illustrative training assumptions created for this exercise — they are NOT JPMorganChase or NGFS scenario values.</t>
  </si>
  <si>
    <t>Scenario</t>
  </si>
  <si>
    <t>Oil/gas price impact</t>
  </si>
  <si>
    <t>Demand / volume impact</t>
  </si>
  <si>
    <t>Additional operating cost (% revenue)</t>
  </si>
  <si>
    <t>Carbon price ($/tCO2e)</t>
  </si>
  <si>
    <t>Transition capex (% revenue)</t>
  </si>
  <si>
    <t>PD stress logic</t>
  </si>
  <si>
    <t>LGD stress logic</t>
  </si>
  <si>
    <t>Scenario purpose</t>
  </si>
  <si>
    <t>Editable?</t>
  </si>
  <si>
    <t>Current Policies-style</t>
  </si>
  <si>
    <t>No incremental climate rating stress</t>
  </si>
  <si>
    <t>No incremental LGD stress</t>
  </si>
  <si>
    <t>Reference case resembling a low-transition-risk starting point.</t>
  </si>
  <si>
    <t>Accelerated Transition</t>
  </si>
  <si>
    <t>Credit metrics may weaken as revenue/cash flow fall</t>
  </si>
  <si>
    <t>Add 5 pts LGD if EBITDA falls &gt;20%</t>
  </si>
  <si>
    <t>Moderate transition shock for training.</t>
  </si>
  <si>
    <t>Severe Transition</t>
  </si>
  <si>
    <t>Stronger rating migration if coverage/leverage deteriorate</t>
  </si>
  <si>
    <t>Add 10 pts LGD if EBITDA falls &gt;35%</t>
  </si>
  <si>
    <t>Severe transition stress for training, directionally inspired by rapid-transition logic.</t>
  </si>
  <si>
    <t>Borrower baseline inputs — illustrative, not JPMorganChase client data</t>
  </si>
  <si>
    <t>Borrower</t>
  </si>
  <si>
    <t>Business type</t>
  </si>
  <si>
    <t>Revenue ($mm)</t>
  </si>
  <si>
    <t>EBITDA ($mm)</t>
  </si>
  <si>
    <t>Debt ($mm)</t>
  </si>
  <si>
    <t>Cash ($mm)</t>
  </si>
  <si>
    <t>Interest expense ($mm)</t>
  </si>
  <si>
    <t>Maintenance capex ($mm)</t>
  </si>
  <si>
    <t>Scheduled principal ($mm)</t>
  </si>
  <si>
    <t>Direct emissions intensity (tCO2e / $1mm revenue)</t>
  </si>
  <si>
    <t>JPM exposure / EAD ($mm)</t>
  </si>
  <si>
    <t>Baseline PD</t>
  </si>
  <si>
    <t>Baseline LGD</t>
  </si>
  <si>
    <t>Source / status</t>
  </si>
  <si>
    <t>UpstreamCo</t>
  </si>
  <si>
    <t>Exploration &amp; Production</t>
  </si>
  <si>
    <t>Synthetic training borrower</t>
  </si>
  <si>
    <t>IntegratedCo</t>
  </si>
  <si>
    <t>Integrated Oil &amp; Gas</t>
  </si>
  <si>
    <t>ServicesCo</t>
  </si>
  <si>
    <t>Oilfield Services</t>
  </si>
  <si>
    <t>Additional model assumptions</t>
  </si>
  <si>
    <t>Assumption</t>
  </si>
  <si>
    <t>Value</t>
  </si>
  <si>
    <t>Comment</t>
  </si>
  <si>
    <t>Cash tax rate on EBITDA</t>
  </si>
  <si>
    <t>Simplified training assumption.</t>
  </si>
  <si>
    <t>PD cap</t>
  </si>
  <si>
    <t>Prevents heuristic PD from exceeding 20% in this exercise.</t>
  </si>
  <si>
    <t>LGD cap</t>
  </si>
  <si>
    <t>Simplified cap for stressed LGD.</t>
  </si>
  <si>
    <t>Oil &amp; Gas Borrower Transition Stress Test</t>
  </si>
  <si>
    <t>Training objective: translate transition scenario drivers into borrower financial metrics and a simplified credit-loss signal. Green text = links to other workbook sheets; black = formulas. This is not an internal JPMorganChase credit model.</t>
  </si>
  <si>
    <t>Carbon cost ($mm)</t>
  </si>
  <si>
    <t>Transition capex ($mm)</t>
  </si>
  <si>
    <t>CFADS ($mm)</t>
  </si>
  <si>
    <t>Debt service ($mm)</t>
  </si>
  <si>
    <t>EBITDA change</t>
  </si>
  <si>
    <t>Credit stress multiplier</t>
  </si>
  <si>
    <t>Stressed PD</t>
  </si>
  <si>
    <t>Stressed LGD</t>
  </si>
  <si>
    <t>EAD ($mm)</t>
  </si>
  <si>
    <t>Expected credit loss ($mm)</t>
  </si>
  <si>
    <t>ECL / EAD</t>
  </si>
  <si>
    <t>Credit flag</t>
  </si>
  <si>
    <t>Key transmission channel</t>
  </si>
  <si>
    <t>Model status</t>
  </si>
  <si>
    <t>Illustrative training model</t>
  </si>
  <si>
    <t>How to interpret the model</t>
  </si>
  <si>
    <t>Revenue</t>
  </si>
  <si>
    <t>Scenario price and volume shocks reduce revenue.</t>
  </si>
  <si>
    <t>EBITDA</t>
  </si>
  <si>
    <t>Lower revenue plus operating-cost and carbon-cost pressure reduce earnings.</t>
  </si>
  <si>
    <t>DSCR / Interest coverage</t>
  </si>
  <si>
    <t>Lower earnings and added transition capex reduce debt-service cushion.</t>
  </si>
  <si>
    <t>When EBITDA falls, debt becomes larger relative to earnings even if nominal debt is unchanged.</t>
  </si>
  <si>
    <t>PD</t>
  </si>
  <si>
    <t>The training heuristic increases PD as coverage and leverage weaken.</t>
  </si>
  <si>
    <t>LGD</t>
  </si>
  <si>
    <t>The training heuristic increases LGD when EBITDA falls sharply, as a proxy for weaker recovery conditions.</t>
  </si>
  <si>
    <t>ECL</t>
  </si>
  <si>
    <t>PD × LGD × EAD converts credit deterioration into a simple dollar loss signal.</t>
  </si>
  <si>
    <t>Oil &amp; Gas Portfolio Translation — From Borrower Stress to Sector View</t>
  </si>
  <si>
    <t>JPMorganChase publicly reports $31.724 billion of Oil &amp; Gas wholesale credit exposure in its 2024 sector heat map. The three synthetic borrowers below are NOT JPMorganChase counterparties and their $1.6 billion combined EAD is only a practice sub-portfolio. Do not scale the modeled losses mechanically to the full $31.724 billion without stronger representativeness assumptions.</t>
  </si>
  <si>
    <t>Practice sub-portfolio EAD ($mm)</t>
  </si>
  <si>
    <t>Practice ECL ($mm)</t>
  </si>
  <si>
    <t>ECL rate</t>
  </si>
  <si>
    <t>JPM disclosed O&amp;G exposure ($mm)</t>
  </si>
  <si>
    <t>Naive scaled loss ($mm)</t>
  </si>
  <si>
    <t>Use scaled loss?</t>
  </si>
  <si>
    <t>Why / why not</t>
  </si>
  <si>
    <t>Avg DSCR</t>
  </si>
  <si>
    <t>Avg interest coverage</t>
  </si>
  <si>
    <t>Management interpretation</t>
  </si>
  <si>
    <t>No</t>
  </si>
  <si>
    <t>Synthetic borrowers are not proven representative of JPMorganChase's Oil &amp; Gas portfolio. Use only as sensitivity illustration.</t>
  </si>
  <si>
    <t>What a real bank would need next</t>
  </si>
  <si>
    <t>Counterparty-level exposure</t>
  </si>
  <si>
    <t>Drawn amount, undrawn commitments, maturity, product, collateral.</t>
  </si>
  <si>
    <t>Internal credit rating / PD</t>
  </si>
  <si>
    <t>Starting credit quality and scenario migration methodology.</t>
  </si>
  <si>
    <t>LGD / collateral</t>
  </si>
  <si>
    <t>Collateral type, location, recovery assumptions and seniority.</t>
  </si>
  <si>
    <t>Financial forecasts</t>
  </si>
  <si>
    <t>Commodity-price sensitivities, hedging, production volumes, cost curves and liquidity.</t>
  </si>
  <si>
    <t>Transition data</t>
  </si>
  <si>
    <t>Scope 1/2/3, methane, production carbon intensity, capex plan, technology pathway.</t>
  </si>
  <si>
    <t>Physical asset data</t>
  </si>
  <si>
    <t>Locations, hazard scores, insurance and business-continuity resilience.</t>
  </si>
  <si>
    <t>Scenario variables</t>
  </si>
  <si>
    <t>NGFS/internal variables mapped consistently to company revenues, costs and 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</si>
</sst>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0;[Red]\(#,##0.0\);\-"/>
    <numFmt numFmtId="167" formatCode="0.0"/>
    <numFmt numFmtId="168" formatCode="\$#,##0;[Red]\(\$#,##0\);\-"/>
    <numFmt numFmtId="169" formatCode="0.00%;[Red]\(0.00%\);\-"/>
    <numFmt numFmtId="170" formatCode="0.0\x;[Red]\(0.0\x\);\-"/>
    <numFmt numFmtId="171" formatCode="0.0\x"/>
  </numFmts>
  <fonts count="9">
    <font>
      <sz val="11"/>
      <name val="Carlito"/>
    </font>
    <font>
      <b/>
      <sz val="16"/>
      <color rgb="FFFFFFFF"/>
      <name val="Carlito"/>
    </font>
    <font>
      <b/>
      <sz val="11"/>
      <color rgb="FF000000"/>
      <name val="Carlito"/>
    </font>
    <font>
      <b/>
      <sz val="11"/>
      <color rgb="FFFFFFFF"/>
      <name val="Carlito"/>
    </font>
    <font>
      <sz val="11"/>
      <color rgb="FF0000FF"/>
      <name val="Carlito"/>
    </font>
    <font>
      <sz val="11"/>
      <color rgb="FF008000"/>
      <name val="Carlito"/>
    </font>
    <font>
      <sz val="11"/>
      <color rgb="FF000000"/>
      <name val="Carlito"/>
    </font>
    <font>
      <b/>
      <sz val="16"/>
      <name val="Carlito"/>
    </font>
    <font>
      <b/>
      <sz val="11"/>
      <name val="Carlito"/>
    </font>
  </fonts>
  <fills count="13">
    <fill>
      <patternFill patternType="none"/>
    </fill>
    <fill>
      <patternFill patternType="gray125"/>
    </fill>
    <fill>
      <patternFill patternType="solid">
        <fgColor rgb="FF0B1F33"/>
      </patternFill>
    </fill>
    <fill>
      <patternFill patternType="solid">
        <fgColor rgb="FFD9EAF7"/>
      </patternFill>
    </fill>
    <fill>
      <patternFill patternType="solid">
        <fgColor rgb="FF1F4E78"/>
      </patternFill>
    </fill>
    <fill>
      <patternFill patternType="solid">
        <fgColor rgb="FFF7EED8"/>
      </patternFill>
    </fill>
    <fill>
      <patternFill patternType="solid">
        <fgColor rgb="FFFFF2CC"/>
      </patternFill>
    </fill>
    <fill>
      <patternFill patternType="solid">
        <fgColor rgb="FFFAFAFA"/>
      </patternFill>
    </fill>
    <fill>
      <patternFill patternType="solid">
        <fgColor rgb="FF0B1F33"/>
      </patternFill>
    </fill>
    <fill>
      <patternFill patternType="solid">
        <fgColor rgb="FFD9EAF7"/>
      </patternFill>
    </fill>
    <fill>
      <patternFill patternType="solid">
        <fgColor rgb="FF1F4E78"/>
      </patternFill>
    </fill>
    <fill>
      <patternFill patternType="solid">
        <fgColor rgb="FFF7EED8"/>
      </patternFill>
    </fill>
    <fill>
      <patternFill patternType="solid">
        <fgColor rgb="FFFFF2CC"/>
      </patternFill>
    </fill>
  </fills>
  <borders count="3">
    <border>
      <left/>
      <right/>
      <top/>
      <bottom/>
      <diagonal/>
    </border>
    <border>
      <left/>
      <right/>
      <top/>
      <bottom/>
      <diagonal/>
    </border>
    <border>
      <left/>
      <right/>
      <top/>
      <bottom/>
      <diagonal/>
    </border>
  </borders>
  <cellStyleXfs count="1">
    <xf numFmtId="0" fontId="0" fillId="0" borderId="0"/>
  </cellStyleXfs>
  <cellXfs count="50">
    <xf numFmtId="0" fontId="0" fillId="0" borderId="0" xfId="0"/>
    <xf numFmtId="0" fontId="0" fillId="0" borderId="0" xfId="0" applyAlignment="1">
      <alignment vertical="top"/>
    </xf>
    <xf numFmtId="0" fontId="2" fillId="3" borderId="1" xfId="0" applyFont="1" applyFill="1" applyBorder="1" applyAlignment="1">
      <alignment vertical="top" wrapText="1"/>
    </xf>
    <xf numFmtId="0" fontId="0" fillId="0" borderId="0" xfId="0" applyAlignment="1">
      <alignment vertical="top" wrapText="1"/>
    </xf>
    <xf numFmtId="0" fontId="2" fillId="3" borderId="1" xfId="0" applyFont="1" applyFill="1" applyBorder="1" applyAlignment="1">
      <alignment horizontal="center" vertical="top" wrapText="1"/>
    </xf>
    <xf numFmtId="0" fontId="0" fillId="0" borderId="0" xfId="0" applyAlignment="1">
      <alignment horizontal="center" vertical="top" wrapText="1"/>
    </xf>
    <xf numFmtId="0" fontId="0" fillId="5" borderId="0" xfId="0" applyFill="1" applyAlignment="1">
      <alignment vertical="top" wrapText="1"/>
    </xf>
    <xf numFmtId="1" fontId="0" fillId="0" borderId="0" xfId="0" applyNumberFormat="1" applyAlignment="1">
      <alignment vertical="top" wrapText="1"/>
    </xf>
    <xf numFmtId="164" fontId="4" fillId="0" borderId="0" xfId="0" applyNumberFormat="1" applyFont="1" applyAlignment="1">
      <alignment vertical="top" wrapText="1"/>
    </xf>
    <xf numFmtId="0" fontId="5" fillId="0" borderId="0" xfId="0" applyFont="1" applyAlignment="1">
      <alignment vertical="top" wrapText="1"/>
    </xf>
    <xf numFmtId="165" fontId="4" fillId="0" borderId="0" xfId="0" applyNumberFormat="1" applyFont="1" applyAlignment="1">
      <alignment vertical="top" wrapText="1"/>
    </xf>
    <xf numFmtId="164" fontId="5" fillId="0" borderId="0" xfId="0" applyNumberFormat="1" applyFont="1" applyAlignment="1">
      <alignment vertical="top"/>
    </xf>
    <xf numFmtId="165" fontId="5" fillId="0" borderId="0" xfId="0" applyNumberFormat="1" applyFont="1" applyAlignment="1">
      <alignment vertical="top"/>
    </xf>
    <xf numFmtId="0" fontId="4" fillId="0" borderId="0" xfId="0" applyFont="1" applyAlignment="1">
      <alignment vertical="top" wrapText="1"/>
    </xf>
    <xf numFmtId="0" fontId="6" fillId="0" borderId="0" xfId="0" applyFont="1" applyAlignment="1">
      <alignment vertical="top" wrapText="1"/>
    </xf>
    <xf numFmtId="2" fontId="6" fillId="0" borderId="0" xfId="0" applyNumberFormat="1" applyFont="1" applyAlignment="1">
      <alignment vertical="top" wrapText="1"/>
    </xf>
    <xf numFmtId="164" fontId="6" fillId="0" borderId="0" xfId="0" applyNumberFormat="1" applyFont="1" applyAlignment="1">
      <alignment vertical="top" wrapText="1"/>
    </xf>
    <xf numFmtId="1" fontId="4" fillId="0" borderId="0" xfId="0" applyNumberFormat="1" applyFont="1" applyAlignment="1">
      <alignment vertical="top" wrapText="1"/>
    </xf>
    <xf numFmtId="166" fontId="4" fillId="0" borderId="0" xfId="0" applyNumberFormat="1" applyFont="1" applyAlignment="1">
      <alignment vertical="top" wrapText="1"/>
    </xf>
    <xf numFmtId="165" fontId="6" fillId="0" borderId="0" xfId="0" applyNumberFormat="1" applyFont="1" applyAlignment="1">
      <alignment vertical="top" wrapText="1"/>
    </xf>
    <xf numFmtId="167" fontId="4" fillId="0" borderId="0" xfId="0" applyNumberFormat="1" applyFont="1" applyAlignment="1">
      <alignment vertical="top" wrapText="1"/>
    </xf>
    <xf numFmtId="2" fontId="4" fillId="0" borderId="0" xfId="0" applyNumberFormat="1" applyFont="1" applyAlignment="1">
      <alignment vertical="top" wrapText="1"/>
    </xf>
    <xf numFmtId="0" fontId="4" fillId="0" borderId="0" xfId="0" applyFont="1" applyAlignment="1">
      <alignment vertical="top"/>
    </xf>
    <xf numFmtId="0" fontId="6" fillId="0" borderId="0" xfId="0" applyFont="1" applyAlignment="1">
      <alignment vertical="top"/>
    </xf>
    <xf numFmtId="164" fontId="0" fillId="0" borderId="0" xfId="0" applyNumberFormat="1" applyAlignment="1">
      <alignment vertical="top" wrapText="1"/>
    </xf>
    <xf numFmtId="165" fontId="5" fillId="0" borderId="0" xfId="0" applyNumberFormat="1" applyFont="1" applyAlignment="1">
      <alignment vertical="top" wrapText="1"/>
    </xf>
    <xf numFmtId="166" fontId="5" fillId="0" borderId="0" xfId="0" applyNumberFormat="1" applyFont="1" applyAlignment="1">
      <alignment vertical="top" wrapText="1"/>
    </xf>
    <xf numFmtId="167" fontId="5" fillId="0" borderId="0" xfId="0" applyNumberFormat="1" applyFont="1" applyAlignment="1">
      <alignment vertical="top" wrapText="1"/>
    </xf>
    <xf numFmtId="0" fontId="0" fillId="7" borderId="0" xfId="0" applyFill="1" applyAlignment="1">
      <alignment vertical="top" wrapText="1"/>
    </xf>
    <xf numFmtId="0" fontId="5" fillId="0" borderId="0" xfId="0" applyFont="1" applyAlignment="1">
      <alignment vertical="top"/>
    </xf>
    <xf numFmtId="2" fontId="5" fillId="0" borderId="0" xfId="0" applyNumberFormat="1" applyFont="1" applyAlignment="1">
      <alignment vertical="top"/>
    </xf>
    <xf numFmtId="166" fontId="5" fillId="0" borderId="0" xfId="0" applyNumberFormat="1" applyFont="1" applyAlignment="1">
      <alignment vertical="top"/>
    </xf>
    <xf numFmtId="0" fontId="8" fillId="9" borderId="2" xfId="0" applyFont="1" applyFill="1" applyBorder="1" applyAlignment="1">
      <alignment vertical="top" wrapText="1"/>
    </xf>
    <xf numFmtId="168" fontId="4" fillId="0" borderId="0" xfId="0" applyNumberFormat="1" applyFont="1" applyAlignment="1">
      <alignment vertical="top" wrapText="1"/>
    </xf>
    <xf numFmtId="169" fontId="4" fillId="0" borderId="0" xfId="0" applyNumberFormat="1" applyFont="1" applyAlignment="1">
      <alignment vertical="top" wrapText="1"/>
    </xf>
    <xf numFmtId="166" fontId="6" fillId="0" borderId="0" xfId="0" applyNumberFormat="1" applyFont="1" applyAlignment="1">
      <alignment vertical="top" wrapText="1"/>
    </xf>
    <xf numFmtId="170" fontId="6" fillId="0" borderId="0" xfId="0" applyNumberFormat="1" applyFont="1" applyAlignment="1">
      <alignment vertical="top" wrapText="1"/>
    </xf>
    <xf numFmtId="171" fontId="6" fillId="0" borderId="0" xfId="0" applyNumberFormat="1" applyFont="1" applyAlignment="1">
      <alignment vertical="top" wrapText="1"/>
    </xf>
    <xf numFmtId="169" fontId="6" fillId="0" borderId="0" xfId="0" applyNumberFormat="1" applyFont="1" applyAlignment="1">
      <alignment vertical="top" wrapText="1"/>
    </xf>
    <xf numFmtId="0" fontId="1" fillId="2" borderId="0" xfId="0" applyFont="1" applyFill="1" applyAlignment="1">
      <alignment horizontal="left" vertical="top"/>
    </xf>
    <xf numFmtId="0" fontId="3" fillId="4" borderId="0" xfId="0" applyFont="1" applyFill="1" applyAlignment="1">
      <alignment vertical="top"/>
    </xf>
    <xf numFmtId="0" fontId="0" fillId="5" borderId="0" xfId="0" applyFill="1" applyAlignment="1">
      <alignment vertical="top" wrapText="1"/>
    </xf>
    <xf numFmtId="0" fontId="0" fillId="6" borderId="0" xfId="0" applyFill="1" applyAlignment="1">
      <alignment vertical="top" wrapText="1"/>
    </xf>
    <xf numFmtId="0" fontId="3" fillId="4" borderId="0" xfId="0" applyFont="1" applyFill="1" applyAlignment="1">
      <alignment horizontal="center" vertical="top"/>
    </xf>
    <xf numFmtId="164" fontId="7" fillId="3" borderId="0" xfId="0" applyNumberFormat="1" applyFont="1" applyFill="1" applyAlignment="1">
      <alignment horizontal="center" vertical="top"/>
    </xf>
    <xf numFmtId="0" fontId="7" fillId="3" borderId="0" xfId="0" applyFont="1" applyFill="1" applyAlignment="1">
      <alignment horizontal="center" vertical="top"/>
    </xf>
    <xf numFmtId="0" fontId="1" fillId="8" borderId="0" xfId="0" applyFont="1" applyFill="1" applyAlignment="1">
      <alignment vertical="top"/>
    </xf>
    <xf numFmtId="0" fontId="3" fillId="10" borderId="0" xfId="0" applyFont="1" applyFill="1" applyAlignment="1">
      <alignment vertical="top"/>
    </xf>
    <xf numFmtId="0" fontId="0" fillId="11" borderId="0" xfId="0" applyFill="1" applyAlignment="1">
      <alignment vertical="top" wrapText="1"/>
    </xf>
    <xf numFmtId="0" fontId="0" fillId="12" borderId="0" xfId="0" applyFill="1" applyAlignment="1">
      <alignment vertical="top" wrapText="1"/>
    </xf>
  </cellXfs>
  <cellStyles count="1">
    <cellStyle name="Normal" xfId="0" builtinId="0"/>
  </cellStyles>
  <dxfs count="6">
    <dxf>
      <fill>
        <patternFill patternType="solid">
          <bgColor rgb="FFD9EAD3"/>
        </patternFill>
      </fill>
    </dxf>
    <dxf>
      <fill>
        <patternFill patternType="solid">
          <bgColor rgb="FFFFF2CC"/>
        </patternFill>
      </fill>
    </dxf>
    <dxf>
      <fill>
        <patternFill patternType="solid">
          <bgColor rgb="FFF4CCCC"/>
        </patternFill>
      </fill>
    </dxf>
    <dxf>
      <fill>
        <patternFill>
          <bgColor rgb="FFD9EAD3"/>
        </patternFill>
      </fill>
    </dxf>
    <dxf>
      <fill>
        <patternFill>
          <bgColor rgb="FFFFF2CC"/>
        </patternFill>
      </fill>
    </dxf>
    <dxf>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Integrated Screening Score</a:t>
            </a:r>
          </a:p>
        </c:rich>
      </c:tx>
      <c:overlay val="1"/>
    </c:title>
    <c:autoTitleDeleted val="0"/>
    <c:plotArea>
      <c:layout/>
      <c:barChart>
        <c:barDir val="col"/>
        <c:grouping val="clustered"/>
        <c:varyColors val="0"/>
        <c:ser>
          <c:idx val="0"/>
          <c:order val="0"/>
          <c:tx>
            <c:v>Composite score</c:v>
          </c:tx>
          <c:invertIfNegative val="1"/>
          <c:cat>
            <c:strRef>
              <c:f>Dashboard!$A$9:$A$13</c:f>
              <c:strCache>
                <c:ptCount val="5"/>
                <c:pt idx="0">
                  <c:v>Oil &amp; Gas</c:v>
                </c:pt>
                <c:pt idx="1">
                  <c:v>Electric Power</c:v>
                </c:pt>
                <c:pt idx="2">
                  <c:v>Auto Manufacturing</c:v>
                </c:pt>
                <c:pt idx="3">
                  <c:v>Iron &amp; Steel</c:v>
                </c:pt>
                <c:pt idx="4">
                  <c:v>Aluminum</c:v>
                </c:pt>
              </c:strCache>
            </c:strRef>
          </c:cat>
          <c:val>
            <c:numRef>
              <c:f>Dashboard!$B$9:$B$13</c:f>
              <c:numCache>
                <c:formatCode>0.00</c:formatCode>
                <c:ptCount val="5"/>
                <c:pt idx="0">
                  <c:v>0.62142555555555556</c:v>
                </c:pt>
                <c:pt idx="1">
                  <c:v>0.53868152173913042</c:v>
                </c:pt>
                <c:pt idx="2">
                  <c:v>0.56504166666666666</c:v>
                </c:pt>
                <c:pt idx="3">
                  <c:v>0.62186166666666676</c:v>
                </c:pt>
                <c:pt idx="4">
                  <c:v>0.73901666666666666</c:v>
                </c:pt>
              </c:numCache>
            </c:numRef>
          </c:val>
          <c:extLst>
            <c:ext xmlns:c16="http://schemas.microsoft.com/office/drawing/2014/chart" uri="{C3380CC4-5D6E-409C-BE32-E72D297353CC}">
              <c16:uniqueId val="{00000000-2792-4329-BFF3-D8B713CF3E8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Progress Toward 2030 Target</a:t>
            </a:r>
          </a:p>
        </c:rich>
      </c:tx>
      <c:overlay val="1"/>
    </c:title>
    <c:autoTitleDeleted val="0"/>
    <c:plotArea>
      <c:layout/>
      <c:barChart>
        <c:barDir val="col"/>
        <c:grouping val="clustered"/>
        <c:varyColors val="0"/>
        <c:ser>
          <c:idx val="0"/>
          <c:order val="0"/>
          <c:tx>
            <c:v>Progress toward 2030 target</c:v>
          </c:tx>
          <c:invertIfNegative val="1"/>
          <c:cat>
            <c:strRef>
              <c:f>Dashboard!$H$16:$H$20</c:f>
              <c:strCache>
                <c:ptCount val="5"/>
                <c:pt idx="0">
                  <c:v>Oil &amp; Gas</c:v>
                </c:pt>
                <c:pt idx="1">
                  <c:v>Electric Power</c:v>
                </c:pt>
                <c:pt idx="2">
                  <c:v>Auto Manufacturing</c:v>
                </c:pt>
                <c:pt idx="3">
                  <c:v>Iron &amp; Steel</c:v>
                </c:pt>
                <c:pt idx="4">
                  <c:v>Aluminum</c:v>
                </c:pt>
              </c:strCache>
            </c:strRef>
          </c:cat>
          <c:val>
            <c:numRef>
              <c:f>Dashboard!$I$16:$I$20</c:f>
              <c:numCache>
                <c:formatCode>0.0%;[Red]\(0.0%\);\-</c:formatCode>
                <c:ptCount val="5"/>
                <c:pt idx="0">
                  <c:v>0.38222222222222219</c:v>
                </c:pt>
                <c:pt idx="1">
                  <c:v>0.39855072463768121</c:v>
                </c:pt>
                <c:pt idx="2">
                  <c:v>0.42291666666666672</c:v>
                </c:pt>
                <c:pt idx="3">
                  <c:v>0.28666666666666668</c:v>
                </c:pt>
                <c:pt idx="4">
                  <c:v>-0.43333333333333335</c:v>
                </c:pt>
              </c:numCache>
            </c:numRef>
          </c:val>
          <c:extLst>
            <c:ext xmlns:c16="http://schemas.microsoft.com/office/drawing/2014/chart" uri="{C3380CC4-5D6E-409C-BE32-E72D297353CC}">
              <c16:uniqueId val="{00000000-F3AA-4998-952A-C5E1A92745E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Practice ECL Rate by Transition Scenario</a:t>
            </a:r>
          </a:p>
        </c:rich>
      </c:tx>
      <c:overlay val="1"/>
    </c:title>
    <c:autoTitleDeleted val="0"/>
    <c:plotArea>
      <c:layout/>
      <c:barChart>
        <c:barDir val="col"/>
        <c:grouping val="clustered"/>
        <c:varyColors val="0"/>
        <c:ser>
          <c:idx val="0"/>
          <c:order val="0"/>
          <c:tx>
            <c:v>Practice sub-portfolio EAD ($mm)</c:v>
          </c:tx>
          <c:invertIfNegative val="1"/>
          <c:cat>
            <c:strRef>
              <c:f>'O&amp;G Portfolio Translation'!$A$8:$A$10</c:f>
              <c:strCache>
                <c:ptCount val="3"/>
                <c:pt idx="0">
                  <c:v>Current Policies-style</c:v>
                </c:pt>
                <c:pt idx="1">
                  <c:v>Accelerated Transition</c:v>
                </c:pt>
                <c:pt idx="2">
                  <c:v>Severe Transition</c:v>
                </c:pt>
              </c:strCache>
            </c:strRef>
          </c:cat>
          <c:val>
            <c:numRef>
              <c:f>'O&amp;G Portfolio Translation'!$B$8:$B$10</c:f>
              <c:numCache>
                <c:formatCode>#,##0.0;[Red]\(#,##0.0\);\-</c:formatCode>
                <c:ptCount val="3"/>
                <c:pt idx="0">
                  <c:v>1600</c:v>
                </c:pt>
                <c:pt idx="1">
                  <c:v>1600</c:v>
                </c:pt>
                <c:pt idx="2">
                  <c:v>1600</c:v>
                </c:pt>
              </c:numCache>
            </c:numRef>
          </c:val>
          <c:extLst>
            <c:ext xmlns:c16="http://schemas.microsoft.com/office/drawing/2014/chart" uri="{C3380CC4-5D6E-409C-BE32-E72D297353CC}">
              <c16:uniqueId val="{00000000-3C64-4EAC-AD07-4D59C496B7E2}"/>
            </c:ext>
          </c:extLst>
        </c:ser>
        <c:ser>
          <c:idx val="1"/>
          <c:order val="1"/>
          <c:tx>
            <c:v>Practice ECL ($mm)</c:v>
          </c:tx>
          <c:invertIfNegative val="1"/>
          <c:cat>
            <c:strRef>
              <c:f>'O&amp;G Portfolio Translation'!$A$8:$A$10</c:f>
              <c:strCache>
                <c:ptCount val="3"/>
                <c:pt idx="0">
                  <c:v>Current Policies-style</c:v>
                </c:pt>
                <c:pt idx="1">
                  <c:v>Accelerated Transition</c:v>
                </c:pt>
                <c:pt idx="2">
                  <c:v>Severe Transition</c:v>
                </c:pt>
              </c:strCache>
            </c:strRef>
          </c:cat>
          <c:val>
            <c:numRef>
              <c:f>'O&amp;G Portfolio Translation'!$C$8:$C$10</c:f>
              <c:numCache>
                <c:formatCode>#,##0.0;[Red]\(#,##0.0\);\-</c:formatCode>
                <c:ptCount val="3"/>
                <c:pt idx="0">
                  <c:v>10.324999999999999</c:v>
                </c:pt>
                <c:pt idx="1">
                  <c:v>53.625</c:v>
                </c:pt>
                <c:pt idx="2">
                  <c:v>63.125</c:v>
                </c:pt>
              </c:numCache>
            </c:numRef>
          </c:val>
          <c:extLst>
            <c:ext xmlns:c16="http://schemas.microsoft.com/office/drawing/2014/chart" uri="{C3380CC4-5D6E-409C-BE32-E72D297353CC}">
              <c16:uniqueId val="{00000001-3C64-4EAC-AD07-4D59C496B7E2}"/>
            </c:ext>
          </c:extLst>
        </c:ser>
        <c:ser>
          <c:idx val="2"/>
          <c:order val="2"/>
          <c:tx>
            <c:v>ECL rate</c:v>
          </c:tx>
          <c:invertIfNegative val="1"/>
          <c:cat>
            <c:strRef>
              <c:f>'O&amp;G Portfolio Translation'!$A$8:$A$10</c:f>
              <c:strCache>
                <c:ptCount val="3"/>
                <c:pt idx="0">
                  <c:v>Current Policies-style</c:v>
                </c:pt>
                <c:pt idx="1">
                  <c:v>Accelerated Transition</c:v>
                </c:pt>
                <c:pt idx="2">
                  <c:v>Severe Transition</c:v>
                </c:pt>
              </c:strCache>
            </c:strRef>
          </c:cat>
          <c:val>
            <c:numRef>
              <c:f>'O&amp;G Portfolio Translation'!$D$8:$D$10</c:f>
              <c:numCache>
                <c:formatCode>0.00%;[Red]\(0.00%\);\-</c:formatCode>
                <c:ptCount val="3"/>
                <c:pt idx="0">
                  <c:v>6.4531249999999997E-3</c:v>
                </c:pt>
                <c:pt idx="1">
                  <c:v>3.3515625E-2</c:v>
                </c:pt>
                <c:pt idx="2">
                  <c:v>3.9453124999999999E-2</c:v>
                </c:pt>
              </c:numCache>
            </c:numRef>
          </c:val>
          <c:extLst>
            <c:ext xmlns:c16="http://schemas.microsoft.com/office/drawing/2014/chart" uri="{C3380CC4-5D6E-409C-BE32-E72D297353CC}">
              <c16:uniqueId val="{00000002-3C64-4EAC-AD07-4D59C496B7E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6</xdr:col>
      <xdr:colOff>0</xdr:colOff>
      <xdr:row>31</xdr:row>
      <xdr:rowOff>0</xdr:rowOff>
    </xdr:to>
    <xdr:graphicFrame macro="">
      <xdr:nvGraphicFramePr>
        <xdr:cNvPr id="2" nam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15</xdr:row>
      <xdr:rowOff>0</xdr:rowOff>
    </xdr:from>
    <xdr:to>
      <xdr:col>12</xdr:col>
      <xdr:colOff>0</xdr:colOff>
      <xdr:row>31</xdr:row>
      <xdr:rowOff>0</xdr:rowOff>
    </xdr:to>
    <xdr:graphicFrame macro="">
      <xdr:nvGraphicFramePr>
        <xdr:cNvPr id="3" name="Chart">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11</xdr:row>
      <xdr:rowOff>0</xdr:rowOff>
    </xdr:from>
    <xdr:to>
      <xdr:col>11</xdr:col>
      <xdr:colOff>0</xdr:colOff>
      <xdr:row>28</xdr:row>
      <xdr:rowOff>0</xdr:rowOff>
    </xdr:to>
    <xdr:graphicFrame macro="">
      <xdr:nvGraphicFramePr>
        <xdr:cNvPr id="2" name="Chart">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5EAFB8-1046-4DF1-B61C-277AB7FF1AF5}">
  <we:reference id="wa200007447" version="1.1.6.7" store="en-US" storeType="OMEX"/>
  <we:alternateReferences>
    <we:reference id="WA200007447" version="1.1.6.7"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_xldudf_BOARDFLARE_RUNPY</we:customFunctionIds>
      </we:customFunctionIdList>
    </a:ext>
  </we:extLst>
</we:webextension>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
  <sheetViews>
    <sheetView topLeftCell="A6" workbookViewId="0">
      <selection activeCell="B8" sqref="B8"/>
    </sheetView>
  </sheetViews>
  <sheetFormatPr defaultRowHeight="14.25"/>
  <cols>
    <col min="1" max="1" width="6" customWidth="1"/>
    <col min="2" max="2" width="26" customWidth="1"/>
    <col min="3" max="3" width="34" customWidth="1"/>
    <col min="4" max="4" width="24" customWidth="1"/>
    <col min="5" max="5" width="30" customWidth="1"/>
    <col min="6" max="7" width="20" customWidth="1"/>
    <col min="8" max="8" width="42" customWidth="1"/>
  </cols>
  <sheetData>
    <row r="1" spans="1:14" ht="27.95" customHeight="1">
      <c r="A1" s="39" t="s">
        <v>0</v>
      </c>
      <c r="B1" s="39"/>
      <c r="C1" s="39"/>
      <c r="D1" s="39"/>
      <c r="E1" s="39"/>
      <c r="F1" s="39"/>
      <c r="G1" s="39"/>
      <c r="H1" s="39"/>
      <c r="I1" s="1"/>
      <c r="J1" s="1"/>
      <c r="K1" s="1"/>
      <c r="L1" s="1"/>
      <c r="M1" s="1"/>
      <c r="N1" s="1"/>
    </row>
    <row r="2" spans="1:14">
      <c r="A2" s="1"/>
      <c r="B2" s="1"/>
      <c r="C2" s="1"/>
      <c r="D2" s="1"/>
      <c r="E2" s="1"/>
      <c r="F2" s="1"/>
      <c r="G2" s="1"/>
      <c r="H2" s="1"/>
      <c r="I2" s="1"/>
      <c r="J2" s="1"/>
      <c r="K2" s="1"/>
      <c r="L2" s="1"/>
      <c r="M2" s="1"/>
      <c r="N2" s="1"/>
    </row>
    <row r="3" spans="1:14" ht="60">
      <c r="A3" s="2" t="s">
        <v>1</v>
      </c>
      <c r="B3" s="2" t="s">
        <v>2</v>
      </c>
      <c r="C3" s="2" t="s">
        <v>3</v>
      </c>
      <c r="D3" s="2" t="s">
        <v>4</v>
      </c>
      <c r="E3" s="2" t="s">
        <v>5</v>
      </c>
      <c r="F3" s="2" t="s">
        <v>6</v>
      </c>
      <c r="G3" s="2" t="s">
        <v>7</v>
      </c>
      <c r="H3" s="2" t="s">
        <v>8</v>
      </c>
      <c r="I3" s="1"/>
      <c r="J3" s="1"/>
      <c r="K3" s="1"/>
      <c r="L3" s="1"/>
      <c r="M3" s="1"/>
      <c r="N3" s="1"/>
    </row>
    <row r="4" spans="1:14" ht="80.099999999999994" customHeight="1">
      <c r="A4" s="3" t="s">
        <v>9</v>
      </c>
      <c r="B4" s="3" t="s">
        <v>10</v>
      </c>
      <c r="C4" s="3" t="s">
        <v>11</v>
      </c>
      <c r="D4" s="3" t="s">
        <v>12</v>
      </c>
      <c r="E4" s="3" t="s">
        <v>13</v>
      </c>
      <c r="F4" s="3" t="s">
        <v>14</v>
      </c>
      <c r="G4" s="3" t="s">
        <v>15</v>
      </c>
      <c r="H4" s="3" t="s">
        <v>16</v>
      </c>
      <c r="I4" s="1"/>
      <c r="J4" s="1"/>
      <c r="K4" s="1"/>
      <c r="L4" s="1"/>
      <c r="M4" s="1"/>
      <c r="N4" s="1"/>
    </row>
    <row r="5" spans="1:14">
      <c r="A5" s="1"/>
      <c r="B5" s="1"/>
      <c r="C5" s="1"/>
      <c r="D5" s="1"/>
      <c r="E5" s="1"/>
      <c r="F5" s="1"/>
      <c r="G5" s="1"/>
      <c r="H5" s="1"/>
      <c r="I5" s="1"/>
      <c r="J5" s="1"/>
      <c r="K5" s="1"/>
      <c r="L5" s="1"/>
      <c r="M5" s="1"/>
      <c r="N5" s="1"/>
    </row>
    <row r="6" spans="1:14" ht="21.95" customHeight="1">
      <c r="A6" s="40" t="s">
        <v>17</v>
      </c>
      <c r="B6" s="40"/>
      <c r="C6" s="40"/>
      <c r="D6" s="40"/>
      <c r="E6" s="40"/>
      <c r="F6" s="40"/>
      <c r="G6" s="40"/>
      <c r="H6" s="40"/>
      <c r="I6" s="1"/>
      <c r="J6" s="1"/>
      <c r="K6" s="1"/>
      <c r="L6" s="1"/>
      <c r="M6" s="1"/>
      <c r="N6" s="1"/>
    </row>
    <row r="7" spans="1:14" ht="30">
      <c r="A7" s="4" t="s">
        <v>18</v>
      </c>
      <c r="B7" s="2" t="s">
        <v>19</v>
      </c>
      <c r="C7" s="2" t="s">
        <v>20</v>
      </c>
      <c r="D7" s="1"/>
      <c r="E7" s="1"/>
      <c r="F7" s="1"/>
      <c r="G7" s="1"/>
      <c r="H7" s="1"/>
      <c r="I7" s="1"/>
      <c r="J7" s="1"/>
      <c r="K7" s="1"/>
      <c r="L7" s="1"/>
      <c r="M7" s="1"/>
      <c r="N7" s="1"/>
    </row>
    <row r="8" spans="1:14" ht="42.75">
      <c r="A8" s="5" t="s">
        <v>21</v>
      </c>
      <c r="B8" s="3" t="s">
        <v>22</v>
      </c>
      <c r="C8" s="3" t="s">
        <v>23</v>
      </c>
      <c r="D8" s="1"/>
      <c r="E8" s="1"/>
      <c r="F8" s="1"/>
      <c r="G8" s="1"/>
      <c r="H8" s="1"/>
      <c r="I8" s="1"/>
      <c r="J8" s="1"/>
      <c r="K8" s="1"/>
      <c r="L8" s="1"/>
      <c r="M8" s="1"/>
      <c r="N8" s="1"/>
    </row>
    <row r="9" spans="1:14" ht="42.75">
      <c r="A9" s="5" t="s">
        <v>24</v>
      </c>
      <c r="B9" s="3" t="s">
        <v>25</v>
      </c>
      <c r="C9" s="3" t="s">
        <v>26</v>
      </c>
      <c r="D9" s="1"/>
      <c r="E9" s="1"/>
      <c r="F9" s="1"/>
      <c r="G9" s="1"/>
      <c r="H9" s="1"/>
      <c r="I9" s="1"/>
      <c r="J9" s="1"/>
      <c r="K9" s="1"/>
      <c r="L9" s="1"/>
      <c r="M9" s="1"/>
      <c r="N9" s="1"/>
    </row>
    <row r="10" spans="1:14" ht="42.75">
      <c r="A10" s="5" t="s">
        <v>27</v>
      </c>
      <c r="B10" s="3" t="s">
        <v>28</v>
      </c>
      <c r="C10" s="3" t="s">
        <v>29</v>
      </c>
      <c r="D10" s="1"/>
      <c r="E10" s="1"/>
      <c r="F10" s="1"/>
      <c r="G10" s="1"/>
      <c r="H10" s="1"/>
      <c r="I10" s="1"/>
      <c r="J10" s="1"/>
      <c r="K10" s="1"/>
      <c r="L10" s="1"/>
      <c r="M10" s="1"/>
      <c r="N10" s="1"/>
    </row>
    <row r="11" spans="1:14" ht="28.5">
      <c r="A11" s="5" t="s">
        <v>30</v>
      </c>
      <c r="B11" s="3" t="s">
        <v>31</v>
      </c>
      <c r="C11" s="3" t="s">
        <v>32</v>
      </c>
      <c r="D11" s="1"/>
      <c r="E11" s="1"/>
      <c r="F11" s="1"/>
      <c r="G11" s="1"/>
      <c r="H11" s="1"/>
      <c r="I11" s="1"/>
      <c r="J11" s="1"/>
      <c r="K11" s="1"/>
      <c r="L11" s="1"/>
      <c r="M11" s="1"/>
      <c r="N11" s="1"/>
    </row>
    <row r="12" spans="1:14" ht="42.75">
      <c r="A12" s="5" t="s">
        <v>33</v>
      </c>
      <c r="B12" s="3" t="s">
        <v>34</v>
      </c>
      <c r="C12" s="3" t="s">
        <v>35</v>
      </c>
      <c r="D12" s="1"/>
      <c r="E12" s="1"/>
      <c r="F12" s="1"/>
      <c r="G12" s="1"/>
      <c r="H12" s="1"/>
      <c r="I12" s="1"/>
      <c r="J12" s="1"/>
      <c r="K12" s="1"/>
      <c r="L12" s="1"/>
      <c r="M12" s="1"/>
      <c r="N12" s="1"/>
    </row>
    <row r="13" spans="1:14" ht="28.5">
      <c r="A13" s="5" t="s">
        <v>36</v>
      </c>
      <c r="B13" s="3" t="s">
        <v>37</v>
      </c>
      <c r="C13" s="3" t="s">
        <v>38</v>
      </c>
      <c r="D13" s="1"/>
      <c r="E13" s="1"/>
      <c r="F13" s="1"/>
      <c r="G13" s="1"/>
      <c r="H13" s="1"/>
      <c r="I13" s="1"/>
      <c r="J13" s="1"/>
      <c r="K13" s="1"/>
      <c r="L13" s="1"/>
      <c r="M13" s="1"/>
      <c r="N13" s="1"/>
    </row>
    <row r="14" spans="1:14" ht="28.5">
      <c r="A14" s="5" t="s">
        <v>39</v>
      </c>
      <c r="B14" s="3" t="s">
        <v>40</v>
      </c>
      <c r="C14" s="3" t="s">
        <v>41</v>
      </c>
      <c r="D14" s="1"/>
      <c r="E14" s="1"/>
      <c r="F14" s="1"/>
      <c r="G14" s="1"/>
      <c r="H14" s="1"/>
      <c r="I14" s="1"/>
      <c r="J14" s="1"/>
      <c r="K14" s="1"/>
      <c r="L14" s="1"/>
      <c r="M14" s="1"/>
      <c r="N14" s="1"/>
    </row>
    <row r="15" spans="1:14" ht="42.75">
      <c r="A15" s="5" t="s">
        <v>42</v>
      </c>
      <c r="B15" s="3" t="s">
        <v>43</v>
      </c>
      <c r="C15" s="3" t="s">
        <v>44</v>
      </c>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ht="21.95" customHeight="1">
      <c r="A17" s="40" t="s">
        <v>45</v>
      </c>
      <c r="B17" s="40"/>
      <c r="C17" s="40"/>
      <c r="D17" s="40"/>
      <c r="E17" s="40"/>
      <c r="F17" s="40"/>
      <c r="G17" s="40"/>
      <c r="H17" s="40"/>
      <c r="I17" s="1"/>
      <c r="J17" s="1"/>
      <c r="K17" s="1"/>
      <c r="L17" s="1"/>
      <c r="M17" s="1"/>
      <c r="N17" s="1"/>
    </row>
    <row r="18" spans="1:14">
      <c r="A18" s="41" t="s">
        <v>46</v>
      </c>
      <c r="B18" s="41"/>
      <c r="C18" s="41"/>
      <c r="D18" s="41"/>
      <c r="E18" s="41"/>
      <c r="F18" s="41"/>
      <c r="G18" s="41"/>
      <c r="H18" s="41"/>
      <c r="I18" s="1"/>
      <c r="J18" s="1"/>
      <c r="K18" s="1"/>
      <c r="L18" s="1"/>
      <c r="M18" s="1"/>
      <c r="N18" s="1"/>
    </row>
    <row r="19" spans="1:14">
      <c r="A19" s="41"/>
      <c r="B19" s="41"/>
      <c r="C19" s="41"/>
      <c r="D19" s="41"/>
      <c r="E19" s="41"/>
      <c r="F19" s="41"/>
      <c r="G19" s="41"/>
      <c r="H19" s="41"/>
      <c r="I19" s="1"/>
      <c r="J19" s="1"/>
      <c r="K19" s="1"/>
      <c r="L19" s="1"/>
      <c r="M19" s="1"/>
      <c r="N19" s="1"/>
    </row>
    <row r="20" spans="1:14">
      <c r="A20" s="41"/>
      <c r="B20" s="41"/>
      <c r="C20" s="41"/>
      <c r="D20" s="41"/>
      <c r="E20" s="41"/>
      <c r="F20" s="41"/>
      <c r="G20" s="41"/>
      <c r="H20" s="4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4">
    <mergeCell ref="A1:H1"/>
    <mergeCell ref="A6:H6"/>
    <mergeCell ref="A17:H17"/>
    <mergeCell ref="A18:H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
  <sheetViews>
    <sheetView workbookViewId="0">
      <selection activeCell="B27" sqref="B27"/>
    </sheetView>
  </sheetViews>
  <sheetFormatPr defaultRowHeight="14.25"/>
  <cols>
    <col min="1" max="1" width="12" customWidth="1"/>
    <col min="2" max="2" width="28" customWidth="1"/>
    <col min="3" max="3" width="20" customWidth="1"/>
    <col min="4" max="4" width="14" customWidth="1"/>
    <col min="5" max="5" width="24" customWidth="1"/>
    <col min="6" max="6" width="34" customWidth="1"/>
    <col min="7" max="7" width="20" customWidth="1"/>
    <col min="8" max="8" width="12" customWidth="1"/>
    <col min="9" max="9" width="40" customWidth="1"/>
  </cols>
  <sheetData>
    <row r="1" spans="1:14" ht="27.95" customHeight="1">
      <c r="A1" s="39" t="s">
        <v>47</v>
      </c>
      <c r="B1" s="39"/>
      <c r="C1" s="39"/>
      <c r="D1" s="39"/>
      <c r="E1" s="39"/>
      <c r="F1" s="39"/>
      <c r="G1" s="39"/>
      <c r="H1" s="39"/>
      <c r="I1" s="39"/>
      <c r="J1" s="1"/>
      <c r="K1" s="1"/>
      <c r="L1" s="1"/>
      <c r="M1" s="1"/>
      <c r="N1" s="1"/>
    </row>
    <row r="2" spans="1:14">
      <c r="A2" s="1"/>
      <c r="B2" s="1"/>
      <c r="C2" s="1"/>
      <c r="D2" s="1"/>
      <c r="E2" s="1"/>
      <c r="F2" s="1"/>
      <c r="G2" s="1"/>
      <c r="H2" s="1"/>
      <c r="I2" s="1"/>
      <c r="J2" s="1"/>
      <c r="K2" s="1"/>
      <c r="L2" s="1"/>
      <c r="M2" s="1"/>
      <c r="N2" s="1"/>
    </row>
    <row r="3" spans="1:14" ht="30">
      <c r="A3" s="2" t="s">
        <v>48</v>
      </c>
      <c r="B3" s="2" t="s">
        <v>49</v>
      </c>
      <c r="C3" s="2" t="s">
        <v>50</v>
      </c>
      <c r="D3" s="2" t="s">
        <v>51</v>
      </c>
      <c r="E3" s="2" t="s">
        <v>52</v>
      </c>
      <c r="F3" s="2" t="s">
        <v>53</v>
      </c>
      <c r="G3" s="2" t="s">
        <v>54</v>
      </c>
      <c r="H3" s="2" t="s">
        <v>55</v>
      </c>
      <c r="I3" s="2" t="s">
        <v>56</v>
      </c>
      <c r="J3" s="1"/>
      <c r="K3" s="1"/>
      <c r="L3" s="1"/>
      <c r="M3" s="1"/>
      <c r="N3" s="1"/>
    </row>
    <row r="4" spans="1:14" ht="28.5">
      <c r="A4" s="3" t="s">
        <v>57</v>
      </c>
      <c r="B4" s="3" t="s">
        <v>58</v>
      </c>
      <c r="C4" s="3" t="s">
        <v>59</v>
      </c>
      <c r="D4" s="7">
        <v>2025</v>
      </c>
      <c r="E4" s="3" t="s">
        <v>60</v>
      </c>
      <c r="F4" s="3" t="s">
        <v>61</v>
      </c>
      <c r="G4" s="3" t="s">
        <v>62</v>
      </c>
      <c r="H4" s="3" t="s">
        <v>63</v>
      </c>
      <c r="I4" s="3" t="s">
        <v>64</v>
      </c>
      <c r="J4" s="1"/>
      <c r="K4" s="1"/>
      <c r="L4" s="1"/>
      <c r="M4" s="1"/>
      <c r="N4" s="1"/>
    </row>
    <row r="5" spans="1:14" ht="28.5">
      <c r="A5" s="3" t="s">
        <v>65</v>
      </c>
      <c r="B5" s="3" t="s">
        <v>66</v>
      </c>
      <c r="C5" s="3" t="s">
        <v>67</v>
      </c>
      <c r="D5" s="7">
        <v>2025</v>
      </c>
      <c r="E5" s="3" t="s">
        <v>68</v>
      </c>
      <c r="F5" s="3" t="s">
        <v>69</v>
      </c>
      <c r="G5" s="3" t="s">
        <v>70</v>
      </c>
      <c r="H5" s="3" t="s">
        <v>63</v>
      </c>
      <c r="I5" s="3" t="s">
        <v>71</v>
      </c>
      <c r="J5" s="1"/>
      <c r="K5" s="1"/>
      <c r="L5" s="1"/>
      <c r="M5" s="1"/>
      <c r="N5" s="1"/>
    </row>
    <row r="6" spans="1:14" ht="28.5">
      <c r="A6" s="3" t="s">
        <v>72</v>
      </c>
      <c r="B6" s="3" t="s">
        <v>73</v>
      </c>
      <c r="C6" s="3" t="s">
        <v>74</v>
      </c>
      <c r="D6" s="7">
        <v>2024</v>
      </c>
      <c r="E6" s="3" t="s">
        <v>75</v>
      </c>
      <c r="F6" s="3" t="s">
        <v>76</v>
      </c>
      <c r="G6" s="3" t="s">
        <v>77</v>
      </c>
      <c r="H6" s="3" t="s">
        <v>63</v>
      </c>
      <c r="I6" s="3" t="s">
        <v>78</v>
      </c>
      <c r="J6" s="1"/>
      <c r="K6" s="1"/>
      <c r="L6" s="1"/>
      <c r="M6" s="1"/>
      <c r="N6" s="1"/>
    </row>
    <row r="7" spans="1:14" ht="28.5">
      <c r="A7" s="3" t="s">
        <v>79</v>
      </c>
      <c r="B7" s="3" t="s">
        <v>80</v>
      </c>
      <c r="C7" s="3" t="s">
        <v>81</v>
      </c>
      <c r="D7" s="7">
        <v>2023</v>
      </c>
      <c r="E7" s="3" t="s">
        <v>82</v>
      </c>
      <c r="F7" s="3" t="s">
        <v>83</v>
      </c>
      <c r="G7" s="3" t="s">
        <v>77</v>
      </c>
      <c r="H7" s="3" t="s">
        <v>63</v>
      </c>
      <c r="I7" s="3" t="s">
        <v>84</v>
      </c>
      <c r="J7" s="1"/>
      <c r="K7" s="1"/>
      <c r="L7" s="1"/>
      <c r="M7" s="1"/>
      <c r="N7" s="1"/>
    </row>
    <row r="8" spans="1:14" ht="57">
      <c r="A8" s="3" t="s">
        <v>85</v>
      </c>
      <c r="B8" s="3" t="s">
        <v>86</v>
      </c>
      <c r="C8" s="3" t="s">
        <v>87</v>
      </c>
      <c r="D8" s="7">
        <v>2024</v>
      </c>
      <c r="E8" s="3" t="s">
        <v>88</v>
      </c>
      <c r="F8" s="3" t="s">
        <v>89</v>
      </c>
      <c r="G8" s="3" t="s">
        <v>90</v>
      </c>
      <c r="H8" s="3" t="s">
        <v>63</v>
      </c>
      <c r="I8" s="3" t="s">
        <v>91</v>
      </c>
      <c r="J8" s="1"/>
      <c r="K8" s="1"/>
      <c r="L8" s="1"/>
      <c r="M8" s="1"/>
      <c r="N8" s="1"/>
    </row>
    <row r="9" spans="1:14" ht="57">
      <c r="A9" s="3" t="s">
        <v>92</v>
      </c>
      <c r="B9" s="3" t="s">
        <v>93</v>
      </c>
      <c r="C9" s="3" t="s">
        <v>94</v>
      </c>
      <c r="D9" s="7"/>
      <c r="E9" s="3" t="s">
        <v>95</v>
      </c>
      <c r="F9" s="3" t="s">
        <v>96</v>
      </c>
      <c r="G9" s="3" t="s">
        <v>97</v>
      </c>
      <c r="H9" s="3" t="s">
        <v>63</v>
      </c>
      <c r="I9" s="3" t="s">
        <v>98</v>
      </c>
      <c r="J9" s="1"/>
      <c r="K9" s="1"/>
      <c r="L9" s="1"/>
      <c r="M9" s="1"/>
      <c r="N9" s="1"/>
    </row>
    <row r="10" spans="1:14">
      <c r="A10" s="1"/>
      <c r="B10" s="1"/>
      <c r="C10" s="1"/>
      <c r="D10" s="1"/>
      <c r="E10" s="1"/>
      <c r="F10" s="1"/>
      <c r="G10" s="1"/>
      <c r="H10" s="1"/>
      <c r="I10" s="1"/>
      <c r="J10" s="1"/>
      <c r="K10" s="1"/>
      <c r="L10" s="1"/>
      <c r="M10" s="1"/>
      <c r="N10" s="1"/>
    </row>
    <row r="11" spans="1:14">
      <c r="A11" s="1"/>
      <c r="B11" s="1"/>
      <c r="C11" s="1"/>
      <c r="D11" s="1"/>
      <c r="E11" s="1"/>
      <c r="F11" s="1"/>
      <c r="G11" s="1"/>
      <c r="H11" s="1"/>
      <c r="I11" s="1"/>
      <c r="J11" s="1"/>
      <c r="K11" s="1"/>
      <c r="L11" s="1"/>
      <c r="M11" s="1"/>
      <c r="N11" s="1"/>
    </row>
    <row r="12" spans="1:14">
      <c r="A12" s="1"/>
      <c r="B12" s="1"/>
      <c r="C12" s="1"/>
      <c r="D12" s="1"/>
      <c r="E12" s="1"/>
      <c r="F12" s="1"/>
      <c r="G12" s="1"/>
      <c r="H12" s="1"/>
      <c r="I12" s="1"/>
      <c r="J12" s="1"/>
      <c r="K12" s="1"/>
      <c r="L12" s="1"/>
      <c r="M12" s="1"/>
      <c r="N12" s="1"/>
    </row>
    <row r="13" spans="1:14">
      <c r="A13" s="1"/>
      <c r="B13" s="1"/>
      <c r="C13" s="1"/>
      <c r="D13" s="1"/>
      <c r="E13" s="1"/>
      <c r="F13" s="1"/>
      <c r="G13" s="1"/>
      <c r="H13" s="1"/>
      <c r="I13" s="1"/>
      <c r="J13" s="1"/>
      <c r="K13" s="1"/>
      <c r="L13" s="1"/>
      <c r="M13" s="1"/>
      <c r="N13" s="1"/>
    </row>
    <row r="14" spans="1:14">
      <c r="A14" s="1"/>
      <c r="B14" s="1"/>
      <c r="C14" s="1"/>
      <c r="D14" s="1"/>
      <c r="E14" s="1"/>
      <c r="F14" s="1"/>
      <c r="G14" s="1"/>
      <c r="H14" s="1"/>
      <c r="I14" s="1"/>
      <c r="J14" s="1"/>
      <c r="K14" s="1"/>
      <c r="L14" s="1"/>
      <c r="M14" s="1"/>
      <c r="N14" s="1"/>
    </row>
    <row r="15" spans="1:14">
      <c r="A15" s="1"/>
      <c r="B15" s="1"/>
      <c r="C15" s="1"/>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
  <sheetViews>
    <sheetView topLeftCell="A19" workbookViewId="0">
      <selection activeCell="A4" sqref="A4"/>
    </sheetView>
  </sheetViews>
  <sheetFormatPr defaultRowHeight="14.25"/>
  <cols>
    <col min="1" max="1" width="30" customWidth="1"/>
    <col min="2" max="5" width="16" customWidth="1"/>
    <col min="6" max="6" width="14" customWidth="1"/>
    <col min="7" max="7" width="28" customWidth="1"/>
  </cols>
  <sheetData>
    <row r="1" spans="1:14" ht="27.95" customHeight="1">
      <c r="A1" s="39" t="s">
        <v>99</v>
      </c>
      <c r="B1" s="39"/>
      <c r="C1" s="39"/>
      <c r="D1" s="39"/>
      <c r="E1" s="39"/>
      <c r="F1" s="39"/>
      <c r="G1" s="39"/>
      <c r="H1" s="1"/>
      <c r="I1" s="1"/>
      <c r="J1" s="1"/>
      <c r="K1" s="1"/>
      <c r="L1" s="1"/>
      <c r="M1" s="1"/>
      <c r="N1" s="1"/>
    </row>
    <row r="2" spans="1:14">
      <c r="A2" s="1"/>
      <c r="B2" s="1"/>
      <c r="C2" s="1"/>
      <c r="D2" s="1"/>
      <c r="E2" s="1"/>
      <c r="F2" s="1"/>
      <c r="G2" s="1"/>
      <c r="H2" s="1"/>
      <c r="I2" s="1"/>
      <c r="J2" s="1"/>
      <c r="K2" s="1"/>
      <c r="L2" s="1"/>
      <c r="M2" s="1"/>
      <c r="N2" s="1"/>
    </row>
    <row r="3" spans="1:14" ht="15">
      <c r="A3" s="2" t="s">
        <v>100</v>
      </c>
      <c r="B3" s="2" t="s">
        <v>101</v>
      </c>
      <c r="C3" s="2" t="s">
        <v>102</v>
      </c>
      <c r="D3" s="2" t="s">
        <v>103</v>
      </c>
      <c r="E3" s="2" t="s">
        <v>104</v>
      </c>
      <c r="F3" s="2" t="s">
        <v>48</v>
      </c>
      <c r="G3" s="2" t="s">
        <v>105</v>
      </c>
      <c r="H3" s="1"/>
      <c r="I3" s="1"/>
      <c r="J3" s="1"/>
      <c r="K3" s="1"/>
      <c r="L3" s="1"/>
      <c r="M3" s="1"/>
      <c r="N3" s="1"/>
    </row>
    <row r="4" spans="1:14">
      <c r="A4" s="3" t="s">
        <v>106</v>
      </c>
      <c r="B4" s="3" t="s">
        <v>107</v>
      </c>
      <c r="C4" s="8">
        <v>158104</v>
      </c>
      <c r="D4" s="8">
        <v>177556</v>
      </c>
      <c r="E4" s="8">
        <v>182447</v>
      </c>
      <c r="F4" s="9" t="s">
        <v>57</v>
      </c>
      <c r="G4" s="9" t="s">
        <v>108</v>
      </c>
      <c r="H4" s="1"/>
      <c r="I4" s="1"/>
      <c r="J4" s="1"/>
      <c r="K4" s="1"/>
      <c r="L4" s="1"/>
      <c r="M4" s="1"/>
      <c r="N4" s="1"/>
    </row>
    <row r="5" spans="1:14">
      <c r="A5" s="3" t="s">
        <v>109</v>
      </c>
      <c r="B5" s="3" t="s">
        <v>107</v>
      </c>
      <c r="C5" s="8">
        <v>87172</v>
      </c>
      <c r="D5" s="8">
        <v>91797</v>
      </c>
      <c r="E5" s="8">
        <v>95640</v>
      </c>
      <c r="F5" s="9" t="s">
        <v>57</v>
      </c>
      <c r="G5" s="9" t="s">
        <v>108</v>
      </c>
      <c r="H5" s="1"/>
      <c r="I5" s="1"/>
      <c r="J5" s="1"/>
      <c r="K5" s="1"/>
      <c r="L5" s="1"/>
      <c r="M5" s="1"/>
      <c r="N5" s="1"/>
    </row>
    <row r="6" spans="1:14">
      <c r="A6" s="3" t="s">
        <v>110</v>
      </c>
      <c r="B6" s="3" t="s">
        <v>107</v>
      </c>
      <c r="C6" s="8">
        <v>9320</v>
      </c>
      <c r="D6" s="8">
        <v>10678</v>
      </c>
      <c r="E6" s="8">
        <v>14212</v>
      </c>
      <c r="F6" s="9" t="s">
        <v>57</v>
      </c>
      <c r="G6" s="9" t="s">
        <v>108</v>
      </c>
      <c r="H6" s="1"/>
      <c r="I6" s="1"/>
      <c r="J6" s="1"/>
      <c r="K6" s="1"/>
      <c r="L6" s="1"/>
      <c r="M6" s="1"/>
      <c r="N6" s="1"/>
    </row>
    <row r="7" spans="1:14">
      <c r="A7" s="3" t="s">
        <v>111</v>
      </c>
      <c r="B7" s="3" t="s">
        <v>107</v>
      </c>
      <c r="C7" s="8">
        <v>49552</v>
      </c>
      <c r="D7" s="8">
        <v>58471</v>
      </c>
      <c r="E7" s="8">
        <v>57048</v>
      </c>
      <c r="F7" s="9" t="s">
        <v>57</v>
      </c>
      <c r="G7" s="9" t="s">
        <v>108</v>
      </c>
      <c r="H7" s="1"/>
      <c r="I7" s="1"/>
      <c r="J7" s="1"/>
      <c r="K7" s="1"/>
      <c r="L7" s="1"/>
      <c r="M7" s="1"/>
      <c r="N7" s="1"/>
    </row>
    <row r="8" spans="1:14">
      <c r="A8" s="3" t="s">
        <v>112</v>
      </c>
      <c r="B8" s="3" t="s">
        <v>107</v>
      </c>
      <c r="C8" s="8">
        <v>1323706</v>
      </c>
      <c r="D8" s="8">
        <v>1347988</v>
      </c>
      <c r="E8" s="8">
        <v>1493429</v>
      </c>
      <c r="F8" s="9" t="s">
        <v>57</v>
      </c>
      <c r="G8" s="9" t="s">
        <v>108</v>
      </c>
      <c r="H8" s="1"/>
      <c r="I8" s="1"/>
      <c r="J8" s="1"/>
      <c r="K8" s="1"/>
      <c r="L8" s="1"/>
      <c r="M8" s="1"/>
      <c r="N8" s="1"/>
    </row>
    <row r="9" spans="1:14">
      <c r="A9" s="3" t="s">
        <v>113</v>
      </c>
      <c r="B9" s="3" t="s">
        <v>107</v>
      </c>
      <c r="C9" s="8">
        <v>3875393</v>
      </c>
      <c r="D9" s="8">
        <v>4002814</v>
      </c>
      <c r="E9" s="8">
        <v>4424900</v>
      </c>
      <c r="F9" s="9" t="s">
        <v>57</v>
      </c>
      <c r="G9" s="9" t="s">
        <v>108</v>
      </c>
      <c r="H9" s="1"/>
      <c r="I9" s="1"/>
      <c r="J9" s="1"/>
      <c r="K9" s="1"/>
      <c r="L9" s="1"/>
      <c r="M9" s="1"/>
      <c r="N9" s="1"/>
    </row>
    <row r="10" spans="1:14">
      <c r="A10" s="3" t="s">
        <v>114</v>
      </c>
      <c r="B10" s="3" t="s">
        <v>107</v>
      </c>
      <c r="C10" s="8">
        <v>2400688</v>
      </c>
      <c r="D10" s="8">
        <v>2406032</v>
      </c>
      <c r="E10" s="8">
        <v>2559320</v>
      </c>
      <c r="F10" s="9" t="s">
        <v>57</v>
      </c>
      <c r="G10" s="9" t="s">
        <v>108</v>
      </c>
      <c r="H10" s="1"/>
      <c r="I10" s="1"/>
      <c r="J10" s="1"/>
      <c r="K10" s="1"/>
      <c r="L10" s="1"/>
      <c r="M10" s="1"/>
      <c r="N10" s="1"/>
    </row>
    <row r="11" spans="1:14">
      <c r="A11" s="3" t="s">
        <v>115</v>
      </c>
      <c r="B11" s="3" t="s">
        <v>107</v>
      </c>
      <c r="C11" s="8">
        <v>300474</v>
      </c>
      <c r="D11" s="8">
        <v>324708</v>
      </c>
      <c r="E11" s="8">
        <v>342393</v>
      </c>
      <c r="F11" s="9" t="s">
        <v>57</v>
      </c>
      <c r="G11" s="9" t="s">
        <v>108</v>
      </c>
      <c r="H11" s="1"/>
      <c r="I11" s="1"/>
      <c r="J11" s="1"/>
      <c r="K11" s="1"/>
      <c r="L11" s="1"/>
      <c r="M11" s="1"/>
      <c r="N11" s="1"/>
    </row>
    <row r="12" spans="1:14">
      <c r="A12" s="3" t="s">
        <v>116</v>
      </c>
      <c r="B12" s="3" t="s">
        <v>107</v>
      </c>
      <c r="C12" s="8">
        <v>327878</v>
      </c>
      <c r="D12" s="8">
        <v>344758</v>
      </c>
      <c r="E12" s="8">
        <v>362438</v>
      </c>
      <c r="F12" s="9" t="s">
        <v>57</v>
      </c>
      <c r="G12" s="9" t="s">
        <v>108</v>
      </c>
      <c r="H12" s="1"/>
      <c r="I12" s="1"/>
      <c r="J12" s="1"/>
      <c r="K12" s="1"/>
      <c r="L12" s="1"/>
      <c r="M12" s="1"/>
      <c r="N12" s="1"/>
    </row>
    <row r="13" spans="1:14">
      <c r="A13" s="3" t="s">
        <v>117</v>
      </c>
      <c r="B13" s="3" t="s">
        <v>107</v>
      </c>
      <c r="C13" s="8">
        <v>489320</v>
      </c>
      <c r="D13" s="8">
        <v>670618</v>
      </c>
      <c r="E13" s="8">
        <v>868793</v>
      </c>
      <c r="F13" s="9" t="s">
        <v>57</v>
      </c>
      <c r="G13" s="9" t="s">
        <v>108</v>
      </c>
      <c r="H13" s="1"/>
      <c r="I13" s="1"/>
      <c r="J13" s="1"/>
      <c r="K13" s="1"/>
      <c r="L13" s="1"/>
      <c r="M13" s="1"/>
      <c r="N13" s="1"/>
    </row>
    <row r="14" spans="1:14">
      <c r="A14" s="3" t="s">
        <v>118</v>
      </c>
      <c r="B14" s="3" t="s">
        <v>119</v>
      </c>
      <c r="C14" s="10">
        <v>0.15</v>
      </c>
      <c r="D14" s="10">
        <v>0.157</v>
      </c>
      <c r="E14" s="10">
        <v>0.14599999999999999</v>
      </c>
      <c r="F14" s="9" t="s">
        <v>57</v>
      </c>
      <c r="G14" s="9" t="s">
        <v>108</v>
      </c>
      <c r="H14" s="1"/>
      <c r="I14" s="1"/>
      <c r="J14" s="1"/>
      <c r="K14" s="1"/>
      <c r="L14" s="1"/>
      <c r="M14" s="1"/>
      <c r="N14" s="1"/>
    </row>
    <row r="15" spans="1:14">
      <c r="A15" s="3" t="s">
        <v>120</v>
      </c>
      <c r="B15" s="3" t="s">
        <v>119</v>
      </c>
      <c r="C15" s="10">
        <v>0.17</v>
      </c>
      <c r="D15" s="10">
        <v>0.18</v>
      </c>
      <c r="E15" s="10">
        <v>0.17</v>
      </c>
      <c r="F15" s="9" t="s">
        <v>57</v>
      </c>
      <c r="G15" s="9" t="s">
        <v>108</v>
      </c>
      <c r="H15" s="1"/>
      <c r="I15" s="1"/>
      <c r="J15" s="1"/>
      <c r="K15" s="1"/>
      <c r="L15" s="1"/>
      <c r="M15" s="1"/>
      <c r="N15" s="1"/>
    </row>
    <row r="16" spans="1:14">
      <c r="A16" s="1"/>
      <c r="B16" s="1"/>
      <c r="C16" s="1"/>
      <c r="D16" s="1"/>
      <c r="E16" s="1"/>
      <c r="F16" s="1"/>
      <c r="G16" s="1"/>
      <c r="H16" s="1"/>
      <c r="I16" s="1"/>
      <c r="J16" s="1"/>
      <c r="K16" s="1"/>
      <c r="L16" s="1"/>
      <c r="M16" s="1"/>
      <c r="N16" s="1"/>
    </row>
    <row r="17" spans="1:14" ht="21.95" customHeight="1">
      <c r="A17" s="40" t="s">
        <v>121</v>
      </c>
      <c r="B17" s="40"/>
      <c r="C17" s="40"/>
      <c r="D17" s="40"/>
      <c r="E17" s="40"/>
      <c r="F17" s="40"/>
      <c r="G17" s="40"/>
      <c r="H17" s="1"/>
      <c r="I17" s="1"/>
      <c r="J17" s="1"/>
      <c r="K17" s="1"/>
      <c r="L17" s="1"/>
      <c r="M17" s="1"/>
      <c r="N17" s="1"/>
    </row>
    <row r="18" spans="1:14" ht="15">
      <c r="A18" s="2" t="s">
        <v>100</v>
      </c>
      <c r="B18" s="2" t="s">
        <v>103</v>
      </c>
      <c r="C18" s="2" t="s">
        <v>104</v>
      </c>
      <c r="D18" s="2" t="s">
        <v>122</v>
      </c>
      <c r="E18" s="2" t="s">
        <v>123</v>
      </c>
      <c r="F18" s="1"/>
      <c r="G18" s="1"/>
      <c r="H18" s="1"/>
      <c r="I18" s="1"/>
      <c r="J18" s="1"/>
      <c r="K18" s="1"/>
      <c r="L18" s="1"/>
      <c r="M18" s="1"/>
      <c r="N18" s="1"/>
    </row>
    <row r="19" spans="1:14" ht="71.25">
      <c r="A19" s="1" t="s">
        <v>112</v>
      </c>
      <c r="B19" s="11">
        <f>D8</f>
        <v>1347988</v>
      </c>
      <c r="C19" s="11">
        <f>E8</f>
        <v>1493429</v>
      </c>
      <c r="D19" s="12">
        <f>C19/B19-1</f>
        <v>0.1078948774024695</v>
      </c>
      <c r="E19" s="3" t="s">
        <v>124</v>
      </c>
      <c r="F19" s="1"/>
      <c r="G19" s="1"/>
      <c r="H19" s="1"/>
      <c r="I19" s="1"/>
      <c r="J19" s="1"/>
      <c r="K19" s="1"/>
      <c r="L19" s="1"/>
      <c r="M19" s="1"/>
      <c r="N19" s="1"/>
    </row>
    <row r="20" spans="1:14" ht="99.75">
      <c r="A20" s="1" t="s">
        <v>113</v>
      </c>
      <c r="B20" s="11">
        <f>D9</f>
        <v>4002814</v>
      </c>
      <c r="C20" s="11">
        <f>E9</f>
        <v>4424900</v>
      </c>
      <c r="D20" s="12">
        <f>C20/B20-1</f>
        <v>0.10544731781191929</v>
      </c>
      <c r="E20" s="3" t="s">
        <v>125</v>
      </c>
      <c r="F20" s="1"/>
      <c r="G20" s="1"/>
      <c r="H20" s="1"/>
      <c r="I20" s="1"/>
      <c r="J20" s="1"/>
      <c r="K20" s="1"/>
      <c r="L20" s="1"/>
      <c r="M20" s="1"/>
      <c r="N20" s="1"/>
    </row>
    <row r="21" spans="1:14" ht="114">
      <c r="A21" s="1" t="s">
        <v>111</v>
      </c>
      <c r="B21" s="11">
        <f>D7</f>
        <v>58471</v>
      </c>
      <c r="C21" s="11">
        <f>E7</f>
        <v>57048</v>
      </c>
      <c r="D21" s="12">
        <f>C21/B21-1</f>
        <v>-2.4336850746523919E-2</v>
      </c>
      <c r="E21" s="3" t="s">
        <v>126</v>
      </c>
      <c r="F21" s="1"/>
      <c r="G21" s="1"/>
      <c r="H21" s="1"/>
      <c r="I21" s="1"/>
      <c r="J21" s="1"/>
      <c r="K21" s="1"/>
      <c r="L21" s="1"/>
      <c r="M21" s="1"/>
      <c r="N21" s="1"/>
    </row>
    <row r="22" spans="1:14" ht="128.25">
      <c r="A22" s="1" t="s">
        <v>110</v>
      </c>
      <c r="B22" s="11">
        <f>D6</f>
        <v>10678</v>
      </c>
      <c r="C22" s="11">
        <f>E6</f>
        <v>14212</v>
      </c>
      <c r="D22" s="12">
        <f>C22/B22-1</f>
        <v>0.33096085409252662</v>
      </c>
      <c r="E22" s="3" t="s">
        <v>127</v>
      </c>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2">
    <mergeCell ref="A1:G1"/>
    <mergeCell ref="A17:G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
  <sheetViews>
    <sheetView topLeftCell="A5" workbookViewId="0">
      <selection activeCell="F17" sqref="F17"/>
    </sheetView>
  </sheetViews>
  <sheetFormatPr defaultRowHeight="14.25"/>
  <cols>
    <col min="1" max="1" width="22" customWidth="1"/>
    <col min="2" max="2" width="30" customWidth="1"/>
    <col min="3" max="7" width="38" customWidth="1"/>
    <col min="8" max="8" width="16" customWidth="1"/>
  </cols>
  <sheetData>
    <row r="1" spans="1:14" ht="27.95" customHeight="1">
      <c r="A1" s="39" t="s">
        <v>128</v>
      </c>
      <c r="B1" s="39"/>
      <c r="C1" s="39"/>
      <c r="D1" s="39"/>
      <c r="E1" s="39"/>
      <c r="F1" s="39"/>
      <c r="G1" s="39"/>
      <c r="H1" s="39"/>
      <c r="I1" s="1"/>
      <c r="J1" s="1"/>
      <c r="K1" s="1"/>
      <c r="L1" s="1"/>
      <c r="M1" s="1"/>
      <c r="N1" s="1"/>
    </row>
    <row r="2" spans="1:14">
      <c r="A2" s="1"/>
      <c r="B2" s="1"/>
      <c r="C2" s="1"/>
      <c r="D2" s="1"/>
      <c r="E2" s="1"/>
      <c r="F2" s="1"/>
      <c r="G2" s="1"/>
      <c r="H2" s="1"/>
      <c r="I2" s="1"/>
      <c r="J2" s="1"/>
      <c r="K2" s="1"/>
      <c r="L2" s="1"/>
      <c r="M2" s="1"/>
      <c r="N2" s="1"/>
    </row>
    <row r="3" spans="1:14" ht="21.95" customHeight="1">
      <c r="A3" s="40" t="s">
        <v>129</v>
      </c>
      <c r="B3" s="40"/>
      <c r="C3" s="40"/>
      <c r="D3" s="40"/>
      <c r="E3" s="40"/>
      <c r="F3" s="40"/>
      <c r="G3" s="40"/>
      <c r="H3" s="40"/>
      <c r="I3" s="1"/>
      <c r="J3" s="1"/>
      <c r="K3" s="1"/>
      <c r="L3" s="1"/>
      <c r="M3" s="1"/>
      <c r="N3" s="1"/>
    </row>
    <row r="4" spans="1:14" ht="15">
      <c r="A4" s="2" t="s">
        <v>130</v>
      </c>
      <c r="B4" s="2" t="s">
        <v>131</v>
      </c>
      <c r="C4" s="1"/>
      <c r="D4" s="1"/>
      <c r="E4" s="1"/>
      <c r="F4" s="1"/>
      <c r="G4" s="1"/>
      <c r="H4" s="1"/>
      <c r="I4" s="1"/>
      <c r="J4" s="1"/>
      <c r="K4" s="1"/>
      <c r="L4" s="1"/>
      <c r="M4" s="1"/>
      <c r="N4" s="1"/>
    </row>
    <row r="5" spans="1:14" ht="57">
      <c r="A5" s="3" t="s">
        <v>132</v>
      </c>
      <c r="B5" s="3" t="s">
        <v>133</v>
      </c>
      <c r="C5" s="1"/>
      <c r="D5" s="1"/>
      <c r="E5" s="1"/>
      <c r="F5" s="1"/>
      <c r="G5" s="1"/>
      <c r="H5" s="1"/>
      <c r="I5" s="1"/>
      <c r="J5" s="1"/>
      <c r="K5" s="1"/>
      <c r="L5" s="1"/>
      <c r="M5" s="1"/>
      <c r="N5" s="1"/>
    </row>
    <row r="6" spans="1:14" ht="71.25">
      <c r="A6" s="3" t="s">
        <v>134</v>
      </c>
      <c r="B6" s="3" t="s">
        <v>135</v>
      </c>
      <c r="C6" s="1"/>
      <c r="D6" s="1"/>
      <c r="E6" s="1"/>
      <c r="F6" s="1"/>
      <c r="G6" s="1"/>
      <c r="H6" s="1"/>
      <c r="I6" s="1"/>
      <c r="J6" s="1"/>
      <c r="K6" s="1"/>
      <c r="L6" s="1"/>
      <c r="M6" s="1"/>
      <c r="N6" s="1"/>
    </row>
    <row r="7" spans="1:14">
      <c r="A7" s="1"/>
      <c r="B7" s="1"/>
      <c r="C7" s="1"/>
      <c r="D7" s="1"/>
      <c r="E7" s="1"/>
      <c r="F7" s="1"/>
      <c r="G7" s="1"/>
      <c r="H7" s="1"/>
      <c r="I7" s="1"/>
      <c r="J7" s="1"/>
      <c r="K7" s="1"/>
      <c r="L7" s="1"/>
      <c r="M7" s="1"/>
      <c r="N7" s="1"/>
    </row>
    <row r="8" spans="1:14" ht="21.95" customHeight="1">
      <c r="A8" s="40" t="s">
        <v>136</v>
      </c>
      <c r="B8" s="40"/>
      <c r="C8" s="40"/>
      <c r="D8" s="40"/>
      <c r="E8" s="40"/>
      <c r="F8" s="40"/>
      <c r="G8" s="40"/>
      <c r="H8" s="40"/>
      <c r="I8" s="1"/>
      <c r="J8" s="1"/>
      <c r="K8" s="1"/>
      <c r="L8" s="1"/>
      <c r="M8" s="1"/>
      <c r="N8" s="1"/>
    </row>
    <row r="9" spans="1:14" ht="15">
      <c r="A9" s="2" t="s">
        <v>137</v>
      </c>
      <c r="B9" s="2" t="s">
        <v>138</v>
      </c>
      <c r="C9" s="2" t="s">
        <v>139</v>
      </c>
      <c r="D9" s="2" t="s">
        <v>140</v>
      </c>
      <c r="E9" s="2" t="s">
        <v>141</v>
      </c>
      <c r="F9" s="2" t="s">
        <v>142</v>
      </c>
      <c r="G9" s="2" t="s">
        <v>143</v>
      </c>
      <c r="H9" s="2" t="s">
        <v>144</v>
      </c>
      <c r="I9" s="1"/>
      <c r="J9" s="1"/>
      <c r="K9" s="1"/>
      <c r="L9" s="1"/>
      <c r="M9" s="1"/>
      <c r="N9" s="1"/>
    </row>
    <row r="10" spans="1:14" ht="42.75">
      <c r="A10" s="3" t="s">
        <v>145</v>
      </c>
      <c r="B10" s="3" t="s">
        <v>146</v>
      </c>
      <c r="C10" s="3" t="s">
        <v>147</v>
      </c>
      <c r="D10" s="3" t="s">
        <v>148</v>
      </c>
      <c r="E10" s="3" t="s">
        <v>149</v>
      </c>
      <c r="F10" s="3" t="s">
        <v>150</v>
      </c>
      <c r="G10" s="3" t="s">
        <v>151</v>
      </c>
      <c r="H10" s="3" t="s">
        <v>152</v>
      </c>
      <c r="I10" s="1"/>
      <c r="J10" s="1"/>
      <c r="K10" s="1"/>
      <c r="L10" s="1"/>
      <c r="M10" s="1"/>
      <c r="N10" s="1"/>
    </row>
    <row r="11" spans="1:14" ht="57">
      <c r="A11" s="3" t="s">
        <v>153</v>
      </c>
      <c r="B11" s="3" t="s">
        <v>154</v>
      </c>
      <c r="C11" s="3" t="s">
        <v>155</v>
      </c>
      <c r="D11" s="3" t="s">
        <v>156</v>
      </c>
      <c r="E11" s="3" t="s">
        <v>157</v>
      </c>
      <c r="F11" s="3" t="s">
        <v>158</v>
      </c>
      <c r="G11" s="3" t="s">
        <v>159</v>
      </c>
      <c r="H11" s="3" t="s">
        <v>152</v>
      </c>
      <c r="I11" s="1"/>
      <c r="J11" s="1"/>
      <c r="K11" s="1"/>
      <c r="L11" s="1"/>
      <c r="M11" s="1"/>
      <c r="N11" s="1"/>
    </row>
    <row r="12" spans="1:14" ht="57">
      <c r="A12" s="3" t="s">
        <v>160</v>
      </c>
      <c r="B12" s="3" t="s">
        <v>161</v>
      </c>
      <c r="C12" s="3" t="s">
        <v>162</v>
      </c>
      <c r="D12" s="3" t="s">
        <v>163</v>
      </c>
      <c r="E12" s="3" t="s">
        <v>164</v>
      </c>
      <c r="F12" s="3" t="s">
        <v>165</v>
      </c>
      <c r="G12" s="3" t="s">
        <v>166</v>
      </c>
      <c r="H12" s="3" t="s">
        <v>167</v>
      </c>
      <c r="I12" s="1"/>
      <c r="J12" s="1"/>
      <c r="K12" s="1"/>
      <c r="L12" s="1"/>
      <c r="M12" s="1"/>
      <c r="N12" s="1"/>
    </row>
    <row r="13" spans="1:14" ht="57">
      <c r="A13" s="3" t="s">
        <v>168</v>
      </c>
      <c r="B13" s="3" t="s">
        <v>169</v>
      </c>
      <c r="C13" s="3" t="s">
        <v>170</v>
      </c>
      <c r="D13" s="3" t="s">
        <v>171</v>
      </c>
      <c r="E13" s="3" t="s">
        <v>172</v>
      </c>
      <c r="F13" s="3" t="s">
        <v>173</v>
      </c>
      <c r="G13" s="3" t="s">
        <v>174</v>
      </c>
      <c r="H13" s="3" t="s">
        <v>175</v>
      </c>
      <c r="I13" s="1"/>
      <c r="J13" s="1"/>
      <c r="K13" s="1"/>
      <c r="L13" s="1"/>
      <c r="M13" s="1"/>
      <c r="N13" s="1"/>
    </row>
    <row r="14" spans="1:14">
      <c r="A14" s="1"/>
      <c r="B14" s="1"/>
      <c r="C14" s="1"/>
      <c r="D14" s="1"/>
      <c r="E14" s="1"/>
      <c r="F14" s="1"/>
      <c r="G14" s="1"/>
      <c r="H14" s="1"/>
      <c r="I14" s="1"/>
      <c r="J14" s="1"/>
      <c r="K14" s="1"/>
      <c r="L14" s="1"/>
      <c r="M14" s="1"/>
      <c r="N14" s="1"/>
    </row>
    <row r="15" spans="1:14" ht="21.95" customHeight="1">
      <c r="A15" s="40" t="s">
        <v>176</v>
      </c>
      <c r="B15" s="40"/>
      <c r="C15" s="40"/>
      <c r="D15" s="40"/>
      <c r="E15" s="40"/>
      <c r="F15" s="40"/>
      <c r="G15" s="40"/>
      <c r="H15" s="40"/>
      <c r="I15" s="1"/>
      <c r="J15" s="1"/>
      <c r="K15" s="1"/>
      <c r="L15" s="1"/>
      <c r="M15" s="1"/>
      <c r="N15" s="1"/>
    </row>
    <row r="16" spans="1:14" ht="15">
      <c r="A16" s="2" t="s">
        <v>177</v>
      </c>
      <c r="B16" s="2" t="s">
        <v>178</v>
      </c>
      <c r="C16" s="2" t="s">
        <v>179</v>
      </c>
      <c r="D16" s="2" t="s">
        <v>180</v>
      </c>
      <c r="E16" s="2" t="s">
        <v>181</v>
      </c>
      <c r="F16" s="2" t="s">
        <v>182</v>
      </c>
      <c r="G16" s="1"/>
      <c r="H16" s="1"/>
      <c r="I16" s="1"/>
      <c r="J16" s="1"/>
      <c r="K16" s="1"/>
      <c r="L16" s="1"/>
      <c r="M16" s="1"/>
      <c r="N16" s="1"/>
    </row>
    <row r="17" spans="1:14" ht="28.5">
      <c r="A17" s="3" t="s">
        <v>183</v>
      </c>
      <c r="B17" s="3" t="s">
        <v>184</v>
      </c>
      <c r="C17" s="3" t="s">
        <v>185</v>
      </c>
      <c r="D17" s="3" t="s">
        <v>186</v>
      </c>
      <c r="E17" s="3" t="s">
        <v>187</v>
      </c>
      <c r="F17" s="3" t="s">
        <v>188</v>
      </c>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4">
    <mergeCell ref="A1:H1"/>
    <mergeCell ref="A3:H3"/>
    <mergeCell ref="A8:H8"/>
    <mergeCell ref="A15:H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
  <sheetViews>
    <sheetView topLeftCell="A11" workbookViewId="0">
      <selection sqref="A1:J1"/>
    </sheetView>
  </sheetViews>
  <sheetFormatPr defaultRowHeight="14.25"/>
  <cols>
    <col min="1" max="1" width="38" customWidth="1"/>
    <col min="2" max="2" width="18" customWidth="1"/>
    <col min="3" max="4" width="16" customWidth="1"/>
    <col min="5" max="6" width="15" customWidth="1"/>
    <col min="7" max="7" width="18" customWidth="1"/>
    <col min="8" max="8" width="22" customWidth="1"/>
    <col min="9" max="9" width="16" customWidth="1"/>
    <col min="10" max="10" width="30" customWidth="1"/>
  </cols>
  <sheetData>
    <row r="1" spans="1:14" ht="27.95" customHeight="1">
      <c r="A1" s="39" t="s">
        <v>189</v>
      </c>
      <c r="B1" s="39"/>
      <c r="C1" s="39"/>
      <c r="D1" s="39"/>
      <c r="E1" s="39"/>
      <c r="F1" s="39"/>
      <c r="G1" s="39"/>
      <c r="H1" s="39"/>
      <c r="I1" s="39"/>
      <c r="J1" s="39"/>
      <c r="K1" s="1"/>
      <c r="L1" s="1"/>
      <c r="M1" s="1"/>
      <c r="N1" s="1"/>
    </row>
    <row r="2" spans="1:14">
      <c r="A2" s="1"/>
      <c r="B2" s="1"/>
      <c r="C2" s="1"/>
      <c r="D2" s="1"/>
      <c r="E2" s="1"/>
      <c r="F2" s="1"/>
      <c r="G2" s="1"/>
      <c r="H2" s="1"/>
      <c r="I2" s="1"/>
      <c r="J2" s="1"/>
      <c r="K2" s="1"/>
      <c r="L2" s="1"/>
      <c r="M2" s="1"/>
      <c r="N2" s="1"/>
    </row>
    <row r="3" spans="1:14" ht="45">
      <c r="A3" s="2" t="s">
        <v>190</v>
      </c>
      <c r="B3" s="2" t="s">
        <v>191</v>
      </c>
      <c r="C3" s="2" t="s">
        <v>134</v>
      </c>
      <c r="D3" s="2" t="s">
        <v>132</v>
      </c>
      <c r="E3" s="2" t="s">
        <v>192</v>
      </c>
      <c r="F3" s="2" t="s">
        <v>193</v>
      </c>
      <c r="G3" s="2" t="s">
        <v>194</v>
      </c>
      <c r="H3" s="2" t="s">
        <v>195</v>
      </c>
      <c r="I3" s="2" t="s">
        <v>196</v>
      </c>
      <c r="J3" s="2" t="s">
        <v>144</v>
      </c>
      <c r="K3" s="1"/>
      <c r="L3" s="1"/>
      <c r="M3" s="1"/>
      <c r="N3" s="1"/>
    </row>
    <row r="4" spans="1:14" ht="28.5">
      <c r="A4" s="13" t="s">
        <v>197</v>
      </c>
      <c r="B4" s="8">
        <v>506877</v>
      </c>
      <c r="C4" s="13" t="s">
        <v>198</v>
      </c>
      <c r="D4" s="13" t="s">
        <v>198</v>
      </c>
      <c r="E4" s="14">
        <f t="shared" ref="E4:E22" si="0">IF(C4="High",3,IF(C4="Moderate",2,IF(C4="Low",1,0)))</f>
        <v>2</v>
      </c>
      <c r="F4" s="14">
        <f t="shared" ref="F4:F22" si="1">IF(D4="Very high",5,IF(D4="High",4,IF(D4="Moderate",3,IF(D4="Low",2,IF(D4="Very Low",1,0)))))</f>
        <v>3</v>
      </c>
      <c r="G4" s="15">
        <f t="shared" ref="G4:G22" si="2">IF(OR(E4=0,F4=0),MAX(E4/3,F4/5),(E4/3+F4/5)/2)</f>
        <v>0.6333333333333333</v>
      </c>
      <c r="H4" s="16">
        <f t="shared" ref="H4:H22" si="3">B4*G4</f>
        <v>321022.09999999998</v>
      </c>
      <c r="I4" s="14" t="str">
        <f t="shared" ref="I4:I22" si="4">IF(G4&gt;=0.8,"Priority 1",IF(G4&gt;=0.6,"Priority 2",IF(G4&gt;=0.4,"Priority 3","Lower")))</f>
        <v>Priority 2</v>
      </c>
      <c r="J4" s="9" t="s">
        <v>199</v>
      </c>
      <c r="K4" s="1"/>
      <c r="L4" s="1"/>
      <c r="M4" s="1"/>
      <c r="N4" s="1"/>
    </row>
    <row r="5" spans="1:14" ht="28.5">
      <c r="A5" s="13" t="s">
        <v>200</v>
      </c>
      <c r="B5" s="8">
        <v>129815</v>
      </c>
      <c r="C5" s="13" t="s">
        <v>198</v>
      </c>
      <c r="D5" s="13" t="s">
        <v>201</v>
      </c>
      <c r="E5" s="14">
        <f t="shared" si="0"/>
        <v>2</v>
      </c>
      <c r="F5" s="14">
        <f t="shared" si="1"/>
        <v>2</v>
      </c>
      <c r="G5" s="15">
        <f t="shared" si="2"/>
        <v>0.53333333333333333</v>
      </c>
      <c r="H5" s="16">
        <f t="shared" si="3"/>
        <v>69234.666666666672</v>
      </c>
      <c r="I5" s="14" t="str">
        <f t="shared" si="4"/>
        <v>Priority 3</v>
      </c>
      <c r="J5" s="9" t="s">
        <v>199</v>
      </c>
      <c r="K5" s="1"/>
      <c r="L5" s="1"/>
      <c r="M5" s="1"/>
      <c r="N5" s="1"/>
    </row>
    <row r="6" spans="1:14" ht="28.5">
      <c r="A6" s="13" t="s">
        <v>202</v>
      </c>
      <c r="B6" s="8">
        <v>35457</v>
      </c>
      <c r="C6" s="13" t="s">
        <v>198</v>
      </c>
      <c r="D6" s="13" t="s">
        <v>201</v>
      </c>
      <c r="E6" s="14">
        <f t="shared" si="0"/>
        <v>2</v>
      </c>
      <c r="F6" s="14">
        <f t="shared" si="1"/>
        <v>2</v>
      </c>
      <c r="G6" s="15">
        <f t="shared" si="2"/>
        <v>0.53333333333333333</v>
      </c>
      <c r="H6" s="16">
        <f t="shared" si="3"/>
        <v>18910.400000000001</v>
      </c>
      <c r="I6" s="14" t="str">
        <f t="shared" si="4"/>
        <v>Priority 3</v>
      </c>
      <c r="J6" s="9" t="s">
        <v>199</v>
      </c>
      <c r="K6" s="1"/>
      <c r="L6" s="1"/>
      <c r="M6" s="1"/>
      <c r="N6" s="1"/>
    </row>
    <row r="7" spans="1:14" ht="28.5">
      <c r="A7" s="13" t="s">
        <v>203</v>
      </c>
      <c r="B7" s="8">
        <v>84716</v>
      </c>
      <c r="C7" s="13" t="s">
        <v>198</v>
      </c>
      <c r="D7" s="13" t="s">
        <v>198</v>
      </c>
      <c r="E7" s="14">
        <f t="shared" si="0"/>
        <v>2</v>
      </c>
      <c r="F7" s="14">
        <f t="shared" si="1"/>
        <v>3</v>
      </c>
      <c r="G7" s="15">
        <f t="shared" si="2"/>
        <v>0.6333333333333333</v>
      </c>
      <c r="H7" s="16">
        <f t="shared" si="3"/>
        <v>53653.466666666667</v>
      </c>
      <c r="I7" s="14" t="str">
        <f t="shared" si="4"/>
        <v>Priority 2</v>
      </c>
      <c r="J7" s="9" t="s">
        <v>199</v>
      </c>
      <c r="K7" s="1"/>
      <c r="L7" s="1"/>
      <c r="M7" s="1"/>
      <c r="N7" s="1"/>
    </row>
    <row r="8" spans="1:14" ht="28.5">
      <c r="A8" s="13" t="s">
        <v>204</v>
      </c>
      <c r="B8" s="8">
        <v>72530</v>
      </c>
      <c r="C8" s="13" t="s">
        <v>198</v>
      </c>
      <c r="D8" s="13" t="s">
        <v>198</v>
      </c>
      <c r="E8" s="14">
        <f t="shared" si="0"/>
        <v>2</v>
      </c>
      <c r="F8" s="14">
        <f t="shared" si="1"/>
        <v>3</v>
      </c>
      <c r="G8" s="15">
        <f t="shared" si="2"/>
        <v>0.6333333333333333</v>
      </c>
      <c r="H8" s="16">
        <f t="shared" si="3"/>
        <v>45935.666666666664</v>
      </c>
      <c r="I8" s="14" t="str">
        <f t="shared" si="4"/>
        <v>Priority 2</v>
      </c>
      <c r="J8" s="9" t="s">
        <v>199</v>
      </c>
      <c r="K8" s="1"/>
      <c r="L8" s="1"/>
      <c r="M8" s="1"/>
      <c r="N8" s="1"/>
    </row>
    <row r="9" spans="1:14" ht="28.5">
      <c r="A9" s="13" t="s">
        <v>205</v>
      </c>
      <c r="B9" s="8">
        <v>13855</v>
      </c>
      <c r="C9" s="13" t="s">
        <v>198</v>
      </c>
      <c r="D9" s="13" t="s">
        <v>206</v>
      </c>
      <c r="E9" s="14">
        <f t="shared" si="0"/>
        <v>2</v>
      </c>
      <c r="F9" s="14">
        <f t="shared" si="1"/>
        <v>4</v>
      </c>
      <c r="G9" s="15">
        <f t="shared" si="2"/>
        <v>0.73333333333333339</v>
      </c>
      <c r="H9" s="16">
        <f t="shared" si="3"/>
        <v>10160.333333333334</v>
      </c>
      <c r="I9" s="14" t="str">
        <f t="shared" si="4"/>
        <v>Priority 2</v>
      </c>
      <c r="J9" s="9" t="s">
        <v>199</v>
      </c>
      <c r="K9" s="1"/>
      <c r="L9" s="1"/>
      <c r="M9" s="1"/>
      <c r="N9" s="1"/>
    </row>
    <row r="10" spans="1:14" ht="28.5">
      <c r="A10" s="13" t="s">
        <v>207</v>
      </c>
      <c r="B10" s="8">
        <v>8489</v>
      </c>
      <c r="C10" s="13" t="s">
        <v>206</v>
      </c>
      <c r="D10" s="13" t="s">
        <v>198</v>
      </c>
      <c r="E10" s="14">
        <f t="shared" si="0"/>
        <v>3</v>
      </c>
      <c r="F10" s="14">
        <f t="shared" si="1"/>
        <v>3</v>
      </c>
      <c r="G10" s="15">
        <f t="shared" si="2"/>
        <v>0.8</v>
      </c>
      <c r="H10" s="16">
        <f t="shared" si="3"/>
        <v>6791.2000000000007</v>
      </c>
      <c r="I10" s="14" t="str">
        <f t="shared" si="4"/>
        <v>Priority 1</v>
      </c>
      <c r="J10" s="9" t="s">
        <v>199</v>
      </c>
      <c r="K10" s="1"/>
      <c r="L10" s="1"/>
      <c r="M10" s="1"/>
      <c r="N10" s="1"/>
    </row>
    <row r="11" spans="1:14" ht="28.5">
      <c r="A11" s="13" t="s">
        <v>208</v>
      </c>
      <c r="B11" s="8">
        <v>64224</v>
      </c>
      <c r="C11" s="13" t="s">
        <v>201</v>
      </c>
      <c r="D11" s="13" t="s">
        <v>198</v>
      </c>
      <c r="E11" s="14">
        <f t="shared" si="0"/>
        <v>1</v>
      </c>
      <c r="F11" s="14">
        <f t="shared" si="1"/>
        <v>3</v>
      </c>
      <c r="G11" s="15">
        <f t="shared" si="2"/>
        <v>0.46666666666666667</v>
      </c>
      <c r="H11" s="16">
        <f t="shared" si="3"/>
        <v>29971.200000000001</v>
      </c>
      <c r="I11" s="14" t="str">
        <f t="shared" si="4"/>
        <v>Priority 3</v>
      </c>
      <c r="J11" s="9" t="s">
        <v>199</v>
      </c>
      <c r="K11" s="1"/>
      <c r="L11" s="1"/>
      <c r="M11" s="1"/>
      <c r="N11" s="1"/>
    </row>
    <row r="12" spans="1:14" ht="28.5">
      <c r="A12" s="13" t="s">
        <v>209</v>
      </c>
      <c r="B12" s="8">
        <v>31724</v>
      </c>
      <c r="C12" s="13" t="s">
        <v>206</v>
      </c>
      <c r="D12" s="13" t="s">
        <v>206</v>
      </c>
      <c r="E12" s="14">
        <f t="shared" si="0"/>
        <v>3</v>
      </c>
      <c r="F12" s="14">
        <f t="shared" si="1"/>
        <v>4</v>
      </c>
      <c r="G12" s="15">
        <f t="shared" si="2"/>
        <v>0.9</v>
      </c>
      <c r="H12" s="16">
        <f t="shared" si="3"/>
        <v>28551.600000000002</v>
      </c>
      <c r="I12" s="14" t="str">
        <f t="shared" si="4"/>
        <v>Priority 1</v>
      </c>
      <c r="J12" s="9" t="s">
        <v>199</v>
      </c>
      <c r="K12" s="1"/>
      <c r="L12" s="1"/>
      <c r="M12" s="1"/>
      <c r="N12" s="1"/>
    </row>
    <row r="13" spans="1:14" ht="28.5">
      <c r="A13" s="13" t="s">
        <v>210</v>
      </c>
      <c r="B13" s="8">
        <v>16865</v>
      </c>
      <c r="C13" s="13" t="s">
        <v>206</v>
      </c>
      <c r="D13" s="13" t="s">
        <v>198</v>
      </c>
      <c r="E13" s="14">
        <f t="shared" si="0"/>
        <v>3</v>
      </c>
      <c r="F13" s="14">
        <f t="shared" si="1"/>
        <v>3</v>
      </c>
      <c r="G13" s="15">
        <f t="shared" si="2"/>
        <v>0.8</v>
      </c>
      <c r="H13" s="16">
        <f t="shared" si="3"/>
        <v>13492</v>
      </c>
      <c r="I13" s="14" t="str">
        <f t="shared" si="4"/>
        <v>Priority 1</v>
      </c>
      <c r="J13" s="9" t="s">
        <v>199</v>
      </c>
      <c r="K13" s="1"/>
      <c r="L13" s="1"/>
      <c r="M13" s="1"/>
      <c r="N13" s="1"/>
    </row>
    <row r="14" spans="1:14" ht="28.5">
      <c r="A14" s="13" t="s">
        <v>211</v>
      </c>
      <c r="B14" s="8">
        <v>12909</v>
      </c>
      <c r="C14" s="13" t="s">
        <v>198</v>
      </c>
      <c r="D14" s="13" t="s">
        <v>212</v>
      </c>
      <c r="E14" s="14">
        <f t="shared" si="0"/>
        <v>2</v>
      </c>
      <c r="F14" s="14">
        <f t="shared" si="1"/>
        <v>5</v>
      </c>
      <c r="G14" s="15">
        <f t="shared" si="2"/>
        <v>0.83333333333333326</v>
      </c>
      <c r="H14" s="16">
        <f t="shared" si="3"/>
        <v>10757.499999999998</v>
      </c>
      <c r="I14" s="14" t="str">
        <f t="shared" si="4"/>
        <v>Priority 1</v>
      </c>
      <c r="J14" s="9" t="s">
        <v>199</v>
      </c>
      <c r="K14" s="1"/>
      <c r="L14" s="1"/>
      <c r="M14" s="1"/>
      <c r="N14" s="1"/>
    </row>
    <row r="15" spans="1:14" ht="28.5">
      <c r="A15" s="13" t="s">
        <v>213</v>
      </c>
      <c r="B15" s="8">
        <v>9439</v>
      </c>
      <c r="C15" s="13" t="s">
        <v>206</v>
      </c>
      <c r="D15" s="13" t="s">
        <v>206</v>
      </c>
      <c r="E15" s="14">
        <f t="shared" si="0"/>
        <v>3</v>
      </c>
      <c r="F15" s="14">
        <f t="shared" si="1"/>
        <v>4</v>
      </c>
      <c r="G15" s="15">
        <f t="shared" si="2"/>
        <v>0.9</v>
      </c>
      <c r="H15" s="16">
        <f t="shared" si="3"/>
        <v>8495.1</v>
      </c>
      <c r="I15" s="14" t="str">
        <f t="shared" si="4"/>
        <v>Priority 1</v>
      </c>
      <c r="J15" s="9" t="s">
        <v>199</v>
      </c>
      <c r="K15" s="1"/>
      <c r="L15" s="1"/>
      <c r="M15" s="1"/>
      <c r="N15" s="1"/>
    </row>
    <row r="16" spans="1:14" ht="28.5">
      <c r="A16" s="13" t="s">
        <v>214</v>
      </c>
      <c r="B16" s="8">
        <v>14301</v>
      </c>
      <c r="C16" s="13" t="s">
        <v>206</v>
      </c>
      <c r="D16" s="13" t="s">
        <v>198</v>
      </c>
      <c r="E16" s="14">
        <f t="shared" si="0"/>
        <v>3</v>
      </c>
      <c r="F16" s="14">
        <f t="shared" si="1"/>
        <v>3</v>
      </c>
      <c r="G16" s="15">
        <f t="shared" si="2"/>
        <v>0.8</v>
      </c>
      <c r="H16" s="16">
        <f t="shared" si="3"/>
        <v>11440.800000000001</v>
      </c>
      <c r="I16" s="14" t="str">
        <f t="shared" si="4"/>
        <v>Priority 1</v>
      </c>
      <c r="J16" s="9" t="s">
        <v>199</v>
      </c>
      <c r="K16" s="1"/>
      <c r="L16" s="1"/>
      <c r="M16" s="1"/>
      <c r="N16" s="1"/>
    </row>
    <row r="17" spans="1:14" ht="28.5">
      <c r="A17" s="13" t="s">
        <v>215</v>
      </c>
      <c r="B17" s="8">
        <v>3947</v>
      </c>
      <c r="C17" s="13" t="s">
        <v>206</v>
      </c>
      <c r="D17" s="13" t="s">
        <v>206</v>
      </c>
      <c r="E17" s="14">
        <f t="shared" si="0"/>
        <v>3</v>
      </c>
      <c r="F17" s="14">
        <f t="shared" si="1"/>
        <v>4</v>
      </c>
      <c r="G17" s="15">
        <f t="shared" si="2"/>
        <v>0.9</v>
      </c>
      <c r="H17" s="16">
        <f t="shared" si="3"/>
        <v>3552.3</v>
      </c>
      <c r="I17" s="14" t="str">
        <f t="shared" si="4"/>
        <v>Priority 1</v>
      </c>
      <c r="J17" s="9" t="s">
        <v>199</v>
      </c>
      <c r="K17" s="1"/>
      <c r="L17" s="1"/>
      <c r="M17" s="1"/>
      <c r="N17" s="1"/>
    </row>
    <row r="18" spans="1:14" ht="28.5">
      <c r="A18" s="13" t="s">
        <v>216</v>
      </c>
      <c r="B18" s="8">
        <v>1066</v>
      </c>
      <c r="C18" s="13" t="s">
        <v>206</v>
      </c>
      <c r="D18" s="13" t="s">
        <v>212</v>
      </c>
      <c r="E18" s="14">
        <f t="shared" si="0"/>
        <v>3</v>
      </c>
      <c r="F18" s="14">
        <f t="shared" si="1"/>
        <v>5</v>
      </c>
      <c r="G18" s="15">
        <f t="shared" si="2"/>
        <v>1</v>
      </c>
      <c r="H18" s="16">
        <f t="shared" si="3"/>
        <v>1066</v>
      </c>
      <c r="I18" s="14" t="str">
        <f t="shared" si="4"/>
        <v>Priority 1</v>
      </c>
      <c r="J18" s="9" t="s">
        <v>199</v>
      </c>
      <c r="K18" s="1"/>
      <c r="L18" s="1"/>
      <c r="M18" s="1"/>
      <c r="N18" s="1"/>
    </row>
    <row r="19" spans="1:14" ht="28.5">
      <c r="A19" s="13" t="s">
        <v>217</v>
      </c>
      <c r="B19" s="8">
        <v>136</v>
      </c>
      <c r="C19" s="13" t="s">
        <v>206</v>
      </c>
      <c r="D19" s="13" t="s">
        <v>206</v>
      </c>
      <c r="E19" s="14">
        <f t="shared" si="0"/>
        <v>3</v>
      </c>
      <c r="F19" s="14">
        <f t="shared" si="1"/>
        <v>4</v>
      </c>
      <c r="G19" s="15">
        <f t="shared" si="2"/>
        <v>0.9</v>
      </c>
      <c r="H19" s="16">
        <f t="shared" si="3"/>
        <v>122.4</v>
      </c>
      <c r="I19" s="14" t="str">
        <f t="shared" si="4"/>
        <v>Priority 1</v>
      </c>
      <c r="J19" s="9" t="s">
        <v>199</v>
      </c>
      <c r="K19" s="1"/>
      <c r="L19" s="1"/>
      <c r="M19" s="1"/>
      <c r="N19" s="1"/>
    </row>
    <row r="20" spans="1:14" ht="28.5">
      <c r="A20" s="13" t="s">
        <v>218</v>
      </c>
      <c r="B20" s="8">
        <v>17019</v>
      </c>
      <c r="C20" s="13" t="s">
        <v>198</v>
      </c>
      <c r="D20" s="13" t="s">
        <v>198</v>
      </c>
      <c r="E20" s="14">
        <f t="shared" si="0"/>
        <v>2</v>
      </c>
      <c r="F20" s="14">
        <f t="shared" si="1"/>
        <v>3</v>
      </c>
      <c r="G20" s="15">
        <f t="shared" si="2"/>
        <v>0.6333333333333333</v>
      </c>
      <c r="H20" s="16">
        <f t="shared" si="3"/>
        <v>10778.699999999999</v>
      </c>
      <c r="I20" s="14" t="str">
        <f t="shared" si="4"/>
        <v>Priority 2</v>
      </c>
      <c r="J20" s="9" t="s">
        <v>199</v>
      </c>
      <c r="K20" s="1"/>
      <c r="L20" s="1"/>
      <c r="M20" s="1"/>
      <c r="N20" s="1"/>
    </row>
    <row r="21" spans="1:14" ht="28.5">
      <c r="A21" s="13" t="s">
        <v>219</v>
      </c>
      <c r="B21" s="8">
        <v>234984</v>
      </c>
      <c r="C21" s="13" t="s">
        <v>201</v>
      </c>
      <c r="D21" s="13" t="s">
        <v>220</v>
      </c>
      <c r="E21" s="14">
        <f t="shared" si="0"/>
        <v>1</v>
      </c>
      <c r="F21" s="14">
        <f t="shared" si="1"/>
        <v>0</v>
      </c>
      <c r="G21" s="15">
        <f t="shared" si="2"/>
        <v>0.33333333333333331</v>
      </c>
      <c r="H21" s="16">
        <f t="shared" si="3"/>
        <v>78328</v>
      </c>
      <c r="I21" s="14" t="str">
        <f t="shared" si="4"/>
        <v>Lower</v>
      </c>
      <c r="J21" s="9" t="s">
        <v>199</v>
      </c>
      <c r="K21" s="1"/>
      <c r="L21" s="1"/>
      <c r="M21" s="1"/>
      <c r="N21" s="1"/>
    </row>
    <row r="22" spans="1:14" ht="28.5">
      <c r="A22" s="13" t="s">
        <v>221</v>
      </c>
      <c r="B22" s="8">
        <v>207050</v>
      </c>
      <c r="C22" s="13" t="s">
        <v>198</v>
      </c>
      <c r="D22" s="13" t="s">
        <v>201</v>
      </c>
      <c r="E22" s="14">
        <f t="shared" si="0"/>
        <v>2</v>
      </c>
      <c r="F22" s="14">
        <f t="shared" si="1"/>
        <v>2</v>
      </c>
      <c r="G22" s="15">
        <f t="shared" si="2"/>
        <v>0.53333333333333333</v>
      </c>
      <c r="H22" s="16">
        <f t="shared" si="3"/>
        <v>110426.66666666667</v>
      </c>
      <c r="I22" s="14" t="str">
        <f t="shared" si="4"/>
        <v>Priority 3</v>
      </c>
      <c r="J22" s="9" t="s">
        <v>199</v>
      </c>
      <c r="K22" s="1"/>
      <c r="L22" s="1"/>
      <c r="M22" s="1"/>
      <c r="N22" s="1"/>
    </row>
    <row r="23" spans="1:14">
      <c r="A23" s="1"/>
      <c r="B23" s="1"/>
      <c r="C23" s="1"/>
      <c r="D23" s="1"/>
      <c r="E23" s="1"/>
      <c r="F23" s="1"/>
      <c r="G23" s="1"/>
      <c r="H23" s="1"/>
      <c r="I23" s="1"/>
      <c r="J23" s="1"/>
      <c r="K23" s="1"/>
      <c r="L23" s="1"/>
      <c r="M23" s="1"/>
      <c r="N23" s="1"/>
    </row>
    <row r="24" spans="1:14">
      <c r="A24" s="42" t="s">
        <v>222</v>
      </c>
      <c r="B24" s="42"/>
      <c r="C24" s="42"/>
      <c r="D24" s="42"/>
      <c r="E24" s="42"/>
      <c r="F24" s="42"/>
      <c r="G24" s="42"/>
      <c r="H24" s="42"/>
      <c r="I24" s="42"/>
      <c r="J24" s="42"/>
      <c r="K24" s="1"/>
      <c r="L24" s="1"/>
      <c r="M24" s="1"/>
      <c r="N24" s="1"/>
    </row>
    <row r="25" spans="1:14">
      <c r="A25" s="42"/>
      <c r="B25" s="42"/>
      <c r="C25" s="42"/>
      <c r="D25" s="42"/>
      <c r="E25" s="42"/>
      <c r="F25" s="42"/>
      <c r="G25" s="42"/>
      <c r="H25" s="42"/>
      <c r="I25" s="42"/>
      <c r="J25" s="42"/>
      <c r="K25" s="1"/>
      <c r="L25" s="1"/>
      <c r="M25" s="1"/>
      <c r="N25" s="1"/>
    </row>
    <row r="26" spans="1:14">
      <c r="A26" s="42"/>
      <c r="B26" s="42"/>
      <c r="C26" s="42"/>
      <c r="D26" s="42"/>
      <c r="E26" s="42"/>
      <c r="F26" s="42"/>
      <c r="G26" s="42"/>
      <c r="H26" s="42"/>
      <c r="I26" s="42"/>
      <c r="J26" s="42"/>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2">
    <mergeCell ref="A1:J1"/>
    <mergeCell ref="A24:J26"/>
  </mergeCells>
  <conditionalFormatting sqref="G4:G22">
    <cfRule type="colorScale" priority="1">
      <colorScale>
        <cfvo type="min"/>
        <cfvo type="percentile" val="50"/>
        <cfvo type="max"/>
        <color rgb="FFE2F0D9"/>
        <color rgb="FFFFF2CC"/>
        <color rgb="FFF4CCCC"/>
      </colorScale>
    </cfRule>
  </conditionalFormatting>
  <conditionalFormatting sqref="H4:H22">
    <cfRule type="dataBar" priority="2">
      <dataBar>
        <cfvo type="min"/>
        <cfvo type="max"/>
        <color rgb="FFE97132"/>
      </dataBar>
    </cfRule>
    <cfRule type="dataBar" priority="3">
      <dataBar>
        <cfvo type="min"/>
        <cfvo type="max"/>
        <color rgb="FFE97132"/>
      </dataBar>
      <extLst>
        <ext xmlns:x14="http://schemas.microsoft.com/office/spreadsheetml/2009/9/main" uri="{B025F937-C7B1-47D3-B67F-A62EFF666E3E}">
          <x14:id>{C92940D2-B145-0245-B8F6-4174BEEAF90B}</x14:id>
        </ext>
      </extLst>
    </cfRule>
  </conditionalFormatting>
  <dataValidations count="1">
    <dataValidation type="list" sqref="I4:I22" xr:uid="{00000000-0002-0000-0400-000000000000}">
      <formula1>"Priority 1,Priority 2,Priority 3,Lower"</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92940D2-B145-0245-B8F6-4174BEEAF90B}">
            <x14:dataBar>
              <x14:cfvo type="min"/>
              <x14:cfvo type="max"/>
              <x14:negativeFillColor auto="1"/>
              <x14:axisColor auto="1"/>
            </x14:dataBar>
          </x14:cfRule>
          <xm:sqref>H4:H22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0"/>
  <sheetViews>
    <sheetView topLeftCell="A10" workbookViewId="0">
      <selection activeCell="A19" sqref="A19"/>
    </sheetView>
  </sheetViews>
  <sheetFormatPr defaultRowHeight="14.25"/>
  <cols>
    <col min="1" max="1" width="24" customWidth="1"/>
    <col min="2" max="2" width="30" customWidth="1"/>
    <col min="3" max="3" width="25" customWidth="1"/>
    <col min="4" max="4" width="13" customWidth="1"/>
    <col min="5" max="5" width="18" customWidth="1"/>
    <col min="6" max="6" width="22" customWidth="1"/>
    <col min="7" max="8" width="18" customWidth="1"/>
    <col min="9" max="9" width="20" customWidth="1"/>
    <col min="10" max="11" width="18" customWidth="1"/>
    <col min="12" max="12" width="30" customWidth="1"/>
  </cols>
  <sheetData>
    <row r="1" spans="1:14" ht="27.95" customHeight="1">
      <c r="A1" s="39" t="s">
        <v>223</v>
      </c>
      <c r="B1" s="39"/>
      <c r="C1" s="39"/>
      <c r="D1" s="39"/>
      <c r="E1" s="39"/>
      <c r="F1" s="39"/>
      <c r="G1" s="39"/>
      <c r="H1" s="39"/>
      <c r="I1" s="39"/>
      <c r="J1" s="39"/>
      <c r="K1" s="39"/>
      <c r="L1" s="39"/>
      <c r="M1" s="1"/>
      <c r="N1" s="1"/>
    </row>
    <row r="2" spans="1:14">
      <c r="A2" s="1"/>
      <c r="B2" s="1"/>
      <c r="C2" s="1"/>
      <c r="D2" s="1"/>
      <c r="E2" s="1"/>
      <c r="F2" s="1"/>
      <c r="G2" s="1"/>
      <c r="H2" s="1"/>
      <c r="I2" s="1"/>
      <c r="J2" s="1"/>
      <c r="K2" s="1"/>
      <c r="L2" s="1"/>
      <c r="M2" s="1"/>
      <c r="N2" s="1"/>
    </row>
    <row r="3" spans="1:14" ht="30">
      <c r="A3" s="2" t="s">
        <v>190</v>
      </c>
      <c r="B3" s="2" t="s">
        <v>224</v>
      </c>
      <c r="C3" s="2" t="s">
        <v>101</v>
      </c>
      <c r="D3" s="2" t="s">
        <v>225</v>
      </c>
      <c r="E3" s="2" t="s">
        <v>226</v>
      </c>
      <c r="F3" s="2" t="s">
        <v>227</v>
      </c>
      <c r="G3" s="2" t="s">
        <v>228</v>
      </c>
      <c r="H3" s="2" t="s">
        <v>229</v>
      </c>
      <c r="I3" s="2" t="s">
        <v>230</v>
      </c>
      <c r="J3" s="2" t="s">
        <v>231</v>
      </c>
      <c r="K3" s="2" t="s">
        <v>232</v>
      </c>
      <c r="L3" s="2" t="s">
        <v>144</v>
      </c>
      <c r="M3" s="1"/>
      <c r="N3" s="1"/>
    </row>
    <row r="4" spans="1:14">
      <c r="A4" s="13" t="s">
        <v>233</v>
      </c>
      <c r="B4" s="13" t="s">
        <v>234</v>
      </c>
      <c r="C4" s="13" t="s">
        <v>235</v>
      </c>
      <c r="D4" s="17">
        <v>2019</v>
      </c>
      <c r="E4" s="18">
        <v>45.9</v>
      </c>
      <c r="F4" s="18">
        <v>29.5</v>
      </c>
      <c r="G4" s="18">
        <v>30.6</v>
      </c>
      <c r="H4" s="10">
        <v>-0.33200000000000002</v>
      </c>
      <c r="I4" s="10">
        <v>-0.36</v>
      </c>
      <c r="J4" s="19">
        <f t="shared" ref="J4:J12" si="0">IF(I4=0,0,H4/I4)</f>
        <v>0.92222222222222228</v>
      </c>
      <c r="K4" s="19">
        <f t="shared" ref="K4:K12" si="1">ABS(I4)-MAX(0,-H4)</f>
        <v>2.7999999999999969E-2</v>
      </c>
      <c r="L4" s="9" t="s">
        <v>236</v>
      </c>
      <c r="M4" s="1"/>
      <c r="N4" s="1"/>
    </row>
    <row r="5" spans="1:14">
      <c r="A5" s="13" t="s">
        <v>237</v>
      </c>
      <c r="B5" s="13" t="s">
        <v>238</v>
      </c>
      <c r="C5" s="13" t="s">
        <v>239</v>
      </c>
      <c r="D5" s="17">
        <v>2019</v>
      </c>
      <c r="E5" s="18">
        <v>4.9000000000000004</v>
      </c>
      <c r="F5" s="18"/>
      <c r="G5" s="18">
        <v>4</v>
      </c>
      <c r="H5" s="10">
        <v>-0.17199999999999999</v>
      </c>
      <c r="I5" s="10">
        <v>-0.45</v>
      </c>
      <c r="J5" s="19">
        <f t="shared" si="0"/>
        <v>0.38222222222222219</v>
      </c>
      <c r="K5" s="19">
        <f t="shared" si="1"/>
        <v>0.27800000000000002</v>
      </c>
      <c r="L5" s="9" t="s">
        <v>236</v>
      </c>
      <c r="M5" s="1"/>
      <c r="N5" s="1"/>
    </row>
    <row r="6" spans="1:14">
      <c r="A6" s="13" t="s">
        <v>240</v>
      </c>
      <c r="B6" s="13" t="s">
        <v>241</v>
      </c>
      <c r="C6" s="13" t="s">
        <v>242</v>
      </c>
      <c r="D6" s="17">
        <v>2019</v>
      </c>
      <c r="E6" s="18">
        <v>342.6</v>
      </c>
      <c r="F6" s="18">
        <v>105.3</v>
      </c>
      <c r="G6" s="18">
        <v>248.4</v>
      </c>
      <c r="H6" s="10">
        <v>-0.27500000000000002</v>
      </c>
      <c r="I6" s="10">
        <v>-0.69</v>
      </c>
      <c r="J6" s="19">
        <f t="shared" si="0"/>
        <v>0.39855072463768121</v>
      </c>
      <c r="K6" s="19">
        <f t="shared" si="1"/>
        <v>0.41499999999999992</v>
      </c>
      <c r="L6" s="9" t="s">
        <v>236</v>
      </c>
      <c r="M6" s="1"/>
      <c r="N6" s="1"/>
    </row>
    <row r="7" spans="1:14">
      <c r="A7" s="13" t="s">
        <v>210</v>
      </c>
      <c r="B7" s="13" t="s">
        <v>243</v>
      </c>
      <c r="C7" s="13" t="s">
        <v>244</v>
      </c>
      <c r="D7" s="17">
        <v>2019</v>
      </c>
      <c r="E7" s="18">
        <v>164.8</v>
      </c>
      <c r="F7" s="18">
        <v>86.1</v>
      </c>
      <c r="G7" s="18">
        <v>131.30000000000001</v>
      </c>
      <c r="H7" s="10">
        <v>-0.20300000000000001</v>
      </c>
      <c r="I7" s="10">
        <v>-0.48</v>
      </c>
      <c r="J7" s="19">
        <f t="shared" si="0"/>
        <v>0.42291666666666672</v>
      </c>
      <c r="K7" s="19">
        <f t="shared" si="1"/>
        <v>0.27699999999999997</v>
      </c>
      <c r="L7" s="9" t="s">
        <v>236</v>
      </c>
      <c r="M7" s="1"/>
      <c r="N7" s="1"/>
    </row>
    <row r="8" spans="1:14">
      <c r="A8" s="13" t="s">
        <v>245</v>
      </c>
      <c r="B8" s="13" t="s">
        <v>246</v>
      </c>
      <c r="C8" s="13" t="s">
        <v>247</v>
      </c>
      <c r="D8" s="17">
        <v>2021</v>
      </c>
      <c r="E8" s="18">
        <v>972.6</v>
      </c>
      <c r="F8" s="18">
        <v>625</v>
      </c>
      <c r="G8" s="18">
        <v>777.3</v>
      </c>
      <c r="H8" s="10">
        <v>-0.20100000000000001</v>
      </c>
      <c r="I8" s="10">
        <v>-0.36</v>
      </c>
      <c r="J8" s="19">
        <f t="shared" si="0"/>
        <v>0.55833333333333335</v>
      </c>
      <c r="K8" s="19">
        <f t="shared" si="1"/>
        <v>0.15899999999999997</v>
      </c>
      <c r="L8" s="9" t="s">
        <v>236</v>
      </c>
      <c r="M8" s="1"/>
      <c r="N8" s="1"/>
    </row>
    <row r="9" spans="1:14">
      <c r="A9" s="13" t="s">
        <v>248</v>
      </c>
      <c r="B9" s="13" t="s">
        <v>246</v>
      </c>
      <c r="C9" s="13" t="s">
        <v>249</v>
      </c>
      <c r="D9" s="17">
        <v>2021</v>
      </c>
      <c r="E9" s="18">
        <v>10.9</v>
      </c>
      <c r="F9" s="18">
        <v>8.4</v>
      </c>
      <c r="G9" s="18">
        <v>11.5</v>
      </c>
      <c r="H9" s="10">
        <v>5.7000000000000002E-2</v>
      </c>
      <c r="I9" s="10">
        <v>-0.23</v>
      </c>
      <c r="J9" s="19">
        <f t="shared" si="0"/>
        <v>-0.24782608695652172</v>
      </c>
      <c r="K9" s="19">
        <f t="shared" si="1"/>
        <v>0.23</v>
      </c>
      <c r="L9" s="9" t="s">
        <v>236</v>
      </c>
      <c r="M9" s="1"/>
      <c r="N9" s="1"/>
    </row>
    <row r="10" spans="1:14">
      <c r="A10" s="13" t="s">
        <v>250</v>
      </c>
      <c r="B10" s="13" t="s">
        <v>238</v>
      </c>
      <c r="C10" s="13" t="s">
        <v>251</v>
      </c>
      <c r="D10" s="17">
        <v>2020</v>
      </c>
      <c r="E10" s="18">
        <v>1.4</v>
      </c>
      <c r="F10" s="18">
        <v>0.98099999999999998</v>
      </c>
      <c r="G10" s="18">
        <v>1.2909999999999999</v>
      </c>
      <c r="H10" s="10">
        <v>-8.5999999999999993E-2</v>
      </c>
      <c r="I10" s="10">
        <v>-0.3</v>
      </c>
      <c r="J10" s="19">
        <f t="shared" si="0"/>
        <v>0.28666666666666668</v>
      </c>
      <c r="K10" s="19">
        <f t="shared" si="1"/>
        <v>0.214</v>
      </c>
      <c r="L10" s="9" t="s">
        <v>236</v>
      </c>
      <c r="M10" s="1"/>
      <c r="N10" s="1"/>
    </row>
    <row r="11" spans="1:14" ht="28.5">
      <c r="A11" s="13" t="s">
        <v>252</v>
      </c>
      <c r="B11" s="13" t="s">
        <v>238</v>
      </c>
      <c r="C11" s="13" t="s">
        <v>253</v>
      </c>
      <c r="D11" s="17">
        <v>2020</v>
      </c>
      <c r="E11" s="18">
        <v>639.29999999999995</v>
      </c>
      <c r="F11" s="18">
        <v>460</v>
      </c>
      <c r="G11" s="18">
        <v>619.6</v>
      </c>
      <c r="H11" s="10">
        <v>-3.1E-2</v>
      </c>
      <c r="I11" s="10">
        <v>-0.28000000000000003</v>
      </c>
      <c r="J11" s="19">
        <f t="shared" si="0"/>
        <v>0.11071428571428571</v>
      </c>
      <c r="K11" s="19">
        <f t="shared" si="1"/>
        <v>0.24900000000000003</v>
      </c>
      <c r="L11" s="9" t="s">
        <v>236</v>
      </c>
      <c r="M11" s="1"/>
      <c r="N11" s="1"/>
    </row>
    <row r="12" spans="1:14">
      <c r="A12" s="13" t="s">
        <v>216</v>
      </c>
      <c r="B12" s="13" t="s">
        <v>238</v>
      </c>
      <c r="C12" s="13" t="s">
        <v>254</v>
      </c>
      <c r="D12" s="17">
        <v>2021</v>
      </c>
      <c r="E12" s="18">
        <v>8.6</v>
      </c>
      <c r="F12" s="18">
        <v>6.5</v>
      </c>
      <c r="G12" s="18">
        <v>9.5</v>
      </c>
      <c r="H12" s="10">
        <v>0.104</v>
      </c>
      <c r="I12" s="10">
        <v>-0.24</v>
      </c>
      <c r="J12" s="19">
        <f t="shared" si="0"/>
        <v>-0.43333333333333335</v>
      </c>
      <c r="K12" s="19">
        <f t="shared" si="1"/>
        <v>0.24</v>
      </c>
      <c r="L12" s="9" t="s">
        <v>236</v>
      </c>
      <c r="M12" s="1"/>
      <c r="N12" s="1"/>
    </row>
    <row r="13" spans="1:14">
      <c r="A13" s="1"/>
      <c r="B13" s="1"/>
      <c r="C13" s="1"/>
      <c r="D13" s="1"/>
      <c r="E13" s="1"/>
      <c r="F13" s="1"/>
      <c r="G13" s="1"/>
      <c r="H13" s="1"/>
      <c r="I13" s="1"/>
      <c r="J13" s="1"/>
      <c r="K13" s="1"/>
      <c r="L13" s="1"/>
      <c r="M13" s="1"/>
      <c r="N13" s="1"/>
    </row>
    <row r="14" spans="1:14" ht="21.95" customHeight="1">
      <c r="A14" s="40" t="s">
        <v>255</v>
      </c>
      <c r="B14" s="40"/>
      <c r="C14" s="40"/>
      <c r="D14" s="40"/>
      <c r="E14" s="40"/>
      <c r="F14" s="40"/>
      <c r="G14" s="40"/>
      <c r="H14" s="40"/>
      <c r="I14" s="40"/>
      <c r="J14" s="40"/>
      <c r="K14" s="40"/>
      <c r="L14" s="40"/>
      <c r="M14" s="1"/>
      <c r="N14" s="1"/>
    </row>
    <row r="15" spans="1:14" ht="15">
      <c r="A15" s="2" t="s">
        <v>256</v>
      </c>
      <c r="B15" s="2" t="s">
        <v>257</v>
      </c>
      <c r="C15" s="2" t="s">
        <v>123</v>
      </c>
      <c r="D15" s="2" t="s">
        <v>258</v>
      </c>
      <c r="E15" s="1"/>
      <c r="F15" s="1"/>
      <c r="G15" s="1"/>
      <c r="H15" s="1"/>
      <c r="I15" s="1"/>
      <c r="J15" s="1"/>
      <c r="K15" s="1"/>
      <c r="L15" s="1"/>
      <c r="M15" s="1"/>
      <c r="N15" s="1"/>
    </row>
    <row r="16" spans="1:14" ht="85.5">
      <c r="A16" s="3" t="s">
        <v>259</v>
      </c>
      <c r="B16" s="3" t="s">
        <v>260</v>
      </c>
      <c r="C16" s="3" t="s">
        <v>261</v>
      </c>
      <c r="D16" s="3" t="s">
        <v>262</v>
      </c>
      <c r="E16" s="1"/>
      <c r="F16" s="1"/>
      <c r="G16" s="1"/>
      <c r="H16" s="1"/>
      <c r="I16" s="1"/>
      <c r="J16" s="1"/>
      <c r="K16" s="1"/>
      <c r="L16" s="1"/>
      <c r="M16" s="1"/>
      <c r="N16" s="1"/>
    </row>
    <row r="17" spans="1:14" ht="99.75">
      <c r="A17" s="3" t="s">
        <v>263</v>
      </c>
      <c r="B17" s="3" t="s">
        <v>264</v>
      </c>
      <c r="C17" s="3" t="s">
        <v>265</v>
      </c>
      <c r="D17" s="3" t="s">
        <v>266</v>
      </c>
      <c r="E17" s="1"/>
      <c r="F17" s="1"/>
      <c r="G17" s="1"/>
      <c r="H17" s="1"/>
      <c r="I17" s="1"/>
      <c r="J17" s="1"/>
      <c r="K17" s="1"/>
      <c r="L17" s="1"/>
      <c r="M17" s="1"/>
      <c r="N17" s="1"/>
    </row>
    <row r="18" spans="1:14" ht="99.75">
      <c r="A18" s="3" t="s">
        <v>267</v>
      </c>
      <c r="B18" s="3" t="s">
        <v>268</v>
      </c>
      <c r="C18" s="3" t="s">
        <v>269</v>
      </c>
      <c r="D18" s="3" t="s">
        <v>270</v>
      </c>
      <c r="E18" s="1"/>
      <c r="F18" s="1"/>
      <c r="G18" s="1"/>
      <c r="H18" s="1"/>
      <c r="I18" s="1"/>
      <c r="J18" s="1"/>
      <c r="K18" s="1"/>
      <c r="L18" s="1"/>
      <c r="M18" s="1"/>
      <c r="N18" s="1"/>
    </row>
    <row r="19" spans="1:14" ht="57">
      <c r="A19" s="3" t="s">
        <v>271</v>
      </c>
      <c r="B19" s="3" t="s">
        <v>272</v>
      </c>
      <c r="C19" s="3" t="s">
        <v>273</v>
      </c>
      <c r="D19" s="3" t="s">
        <v>274</v>
      </c>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2">
    <mergeCell ref="A1:L1"/>
    <mergeCell ref="A14:L14"/>
  </mergeCells>
  <conditionalFormatting sqref="J4:J12">
    <cfRule type="colorScale" priority="1">
      <colorScale>
        <cfvo type="min"/>
        <cfvo type="percentile" val="50"/>
        <cfvo type="max"/>
        <color rgb="FFF4CCCC"/>
        <color rgb="FFFFF2CC"/>
        <color rgb="FFD9EAD3"/>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
  <sheetViews>
    <sheetView topLeftCell="B1" workbookViewId="0">
      <selection activeCell="C4" sqref="C4"/>
    </sheetView>
  </sheetViews>
  <sheetFormatPr defaultRowHeight="14.25"/>
  <cols>
    <col min="1" max="1" width="24" customWidth="1"/>
    <col min="2" max="2" width="28" customWidth="1"/>
    <col min="3" max="6" width="23" customWidth="1"/>
    <col min="7" max="7" width="16" customWidth="1"/>
    <col min="8" max="9" width="23" customWidth="1"/>
    <col min="10" max="10" width="20" customWidth="1"/>
    <col min="11" max="11" width="30" customWidth="1"/>
  </cols>
  <sheetData>
    <row r="1" spans="1:14" ht="27.95" customHeight="1">
      <c r="A1" s="39" t="s">
        <v>275</v>
      </c>
      <c r="B1" s="39"/>
      <c r="C1" s="39"/>
      <c r="D1" s="39"/>
      <c r="E1" s="39"/>
      <c r="F1" s="39"/>
      <c r="G1" s="39"/>
      <c r="H1" s="39"/>
      <c r="I1" s="39"/>
      <c r="J1" s="39"/>
      <c r="K1" s="39"/>
      <c r="L1" s="1"/>
      <c r="M1" s="1"/>
      <c r="N1" s="1"/>
    </row>
    <row r="2" spans="1:14">
      <c r="A2" s="1"/>
      <c r="B2" s="1"/>
      <c r="C2" s="1"/>
      <c r="D2" s="1"/>
      <c r="E2" s="1"/>
      <c r="F2" s="1"/>
      <c r="G2" s="1"/>
      <c r="H2" s="1"/>
      <c r="I2" s="1"/>
      <c r="J2" s="1"/>
      <c r="K2" s="1"/>
      <c r="L2" s="1"/>
      <c r="M2" s="1"/>
      <c r="N2" s="1"/>
    </row>
    <row r="3" spans="1:14" ht="45">
      <c r="A3" s="2" t="s">
        <v>190</v>
      </c>
      <c r="B3" s="2" t="s">
        <v>224</v>
      </c>
      <c r="C3" s="2" t="s">
        <v>276</v>
      </c>
      <c r="D3" s="2" t="s">
        <v>277</v>
      </c>
      <c r="E3" s="2" t="s">
        <v>278</v>
      </c>
      <c r="F3" s="2" t="s">
        <v>279</v>
      </c>
      <c r="G3" s="2" t="s">
        <v>280</v>
      </c>
      <c r="H3" s="2" t="s">
        <v>281</v>
      </c>
      <c r="I3" s="2" t="s">
        <v>282</v>
      </c>
      <c r="J3" s="2" t="s">
        <v>283</v>
      </c>
      <c r="K3" s="2" t="s">
        <v>144</v>
      </c>
      <c r="L3" s="1"/>
      <c r="M3" s="1"/>
      <c r="N3" s="1"/>
    </row>
    <row r="4" spans="1:14" ht="28.5">
      <c r="A4" s="13" t="s">
        <v>233</v>
      </c>
      <c r="B4" s="13" t="s">
        <v>234</v>
      </c>
      <c r="C4" s="18">
        <v>84.4</v>
      </c>
      <c r="D4" s="18">
        <v>42.9</v>
      </c>
      <c r="E4" s="18">
        <v>1876.2</v>
      </c>
      <c r="F4" s="18">
        <v>2961.8</v>
      </c>
      <c r="G4" s="20">
        <v>3.1</v>
      </c>
      <c r="H4" s="21">
        <v>19.3</v>
      </c>
      <c r="I4" s="18">
        <v>3709.2</v>
      </c>
      <c r="J4" s="14" t="str">
        <f t="shared" ref="J4:J12" si="0">IF(G4&gt;3,"Data quality review",IF(E4&gt;1000,"High emissions intensity","Monitor"))</f>
        <v>Data quality review</v>
      </c>
      <c r="K4" s="9" t="s">
        <v>284</v>
      </c>
      <c r="L4" s="1"/>
      <c r="M4" s="1"/>
      <c r="N4" s="1"/>
    </row>
    <row r="5" spans="1:14" ht="28.5">
      <c r="A5" s="13" t="s">
        <v>285</v>
      </c>
      <c r="B5" s="13" t="s">
        <v>238</v>
      </c>
      <c r="C5" s="18">
        <v>4.3</v>
      </c>
      <c r="D5" s="18">
        <v>2.9</v>
      </c>
      <c r="E5" s="18">
        <v>212.2</v>
      </c>
      <c r="F5" s="18">
        <v>404.1</v>
      </c>
      <c r="G5" s="20">
        <v>3.2</v>
      </c>
      <c r="H5" s="21">
        <v>0.8</v>
      </c>
      <c r="I5" s="18">
        <v>242.5</v>
      </c>
      <c r="J5" s="14" t="str">
        <f t="shared" si="0"/>
        <v>Data quality review</v>
      </c>
      <c r="K5" s="9" t="s">
        <v>284</v>
      </c>
      <c r="L5" s="1"/>
      <c r="M5" s="1"/>
      <c r="N5" s="1"/>
    </row>
    <row r="6" spans="1:14" ht="28.5">
      <c r="A6" s="13" t="s">
        <v>240</v>
      </c>
      <c r="B6" s="13" t="s">
        <v>241</v>
      </c>
      <c r="C6" s="18">
        <v>21.1</v>
      </c>
      <c r="D6" s="18">
        <v>6.3</v>
      </c>
      <c r="E6" s="18">
        <v>515.29999999999995</v>
      </c>
      <c r="F6" s="18">
        <v>438.8</v>
      </c>
      <c r="G6" s="20">
        <v>3.1</v>
      </c>
      <c r="H6" s="21">
        <v>1.9</v>
      </c>
      <c r="I6" s="18">
        <v>621.79999999999995</v>
      </c>
      <c r="J6" s="14" t="str">
        <f t="shared" si="0"/>
        <v>Data quality review</v>
      </c>
      <c r="K6" s="9" t="s">
        <v>284</v>
      </c>
      <c r="L6" s="1"/>
      <c r="M6" s="1"/>
      <c r="N6" s="1"/>
    </row>
    <row r="7" spans="1:14" ht="28.5">
      <c r="A7" s="13" t="s">
        <v>210</v>
      </c>
      <c r="B7" s="13" t="s">
        <v>243</v>
      </c>
      <c r="C7" s="18">
        <v>2.2000000000000002</v>
      </c>
      <c r="D7" s="18">
        <v>1</v>
      </c>
      <c r="E7" s="18">
        <v>511.6</v>
      </c>
      <c r="F7" s="18">
        <v>457</v>
      </c>
      <c r="G7" s="20">
        <v>3.1</v>
      </c>
      <c r="H7" s="21">
        <v>0.2</v>
      </c>
      <c r="I7" s="18">
        <v>853</v>
      </c>
      <c r="J7" s="14" t="str">
        <f t="shared" si="0"/>
        <v>Data quality review</v>
      </c>
      <c r="K7" s="9" t="s">
        <v>284</v>
      </c>
      <c r="L7" s="1"/>
      <c r="M7" s="1"/>
      <c r="N7" s="1"/>
    </row>
    <row r="8" spans="1:14" ht="28.5">
      <c r="A8" s="13" t="s">
        <v>245</v>
      </c>
      <c r="B8" s="13" t="s">
        <v>246</v>
      </c>
      <c r="C8" s="18">
        <v>1.2</v>
      </c>
      <c r="D8" s="18">
        <v>0.6</v>
      </c>
      <c r="E8" s="18">
        <v>762.3</v>
      </c>
      <c r="F8" s="18">
        <v>766.6</v>
      </c>
      <c r="G8" s="20">
        <v>3</v>
      </c>
      <c r="H8" s="21">
        <v>0.1</v>
      </c>
      <c r="I8" s="18">
        <v>601.5</v>
      </c>
      <c r="J8" s="14" t="str">
        <f t="shared" si="0"/>
        <v>Monitor</v>
      </c>
      <c r="K8" s="9" t="s">
        <v>284</v>
      </c>
      <c r="L8" s="1"/>
      <c r="M8" s="1"/>
      <c r="N8" s="1"/>
    </row>
    <row r="9" spans="1:14" ht="28.5">
      <c r="A9" s="13" t="s">
        <v>248</v>
      </c>
      <c r="B9" s="13" t="s">
        <v>246</v>
      </c>
      <c r="C9" s="18">
        <v>0.2</v>
      </c>
      <c r="D9" s="18">
        <v>0.1</v>
      </c>
      <c r="E9" s="18">
        <v>395.5</v>
      </c>
      <c r="F9" s="18">
        <v>306.39999999999998</v>
      </c>
      <c r="G9" s="20">
        <v>2.6</v>
      </c>
      <c r="H9" s="21">
        <v>0.04</v>
      </c>
      <c r="I9" s="18">
        <v>251.1</v>
      </c>
      <c r="J9" s="14" t="str">
        <f t="shared" si="0"/>
        <v>Monitor</v>
      </c>
      <c r="K9" s="9" t="s">
        <v>284</v>
      </c>
      <c r="L9" s="1"/>
      <c r="M9" s="1"/>
      <c r="N9" s="1"/>
    </row>
    <row r="10" spans="1:14" ht="28.5">
      <c r="A10" s="13" t="s">
        <v>250</v>
      </c>
      <c r="B10" s="13" t="s">
        <v>238</v>
      </c>
      <c r="C10" s="18">
        <v>3.4</v>
      </c>
      <c r="D10" s="18">
        <v>1</v>
      </c>
      <c r="E10" s="18">
        <v>1592.6</v>
      </c>
      <c r="F10" s="18">
        <v>1504.3</v>
      </c>
      <c r="G10" s="20">
        <v>1.2</v>
      </c>
      <c r="H10" s="21">
        <v>0.6</v>
      </c>
      <c r="I10" s="18">
        <v>1444.6</v>
      </c>
      <c r="J10" s="14" t="str">
        <f t="shared" si="0"/>
        <v>High emissions intensity</v>
      </c>
      <c r="K10" s="9" t="s">
        <v>284</v>
      </c>
      <c r="L10" s="1"/>
      <c r="M10" s="1"/>
      <c r="N10" s="1"/>
    </row>
    <row r="11" spans="1:14" ht="28.5">
      <c r="A11" s="13" t="s">
        <v>252</v>
      </c>
      <c r="B11" s="13" t="s">
        <v>238</v>
      </c>
      <c r="C11" s="18">
        <v>1.4</v>
      </c>
      <c r="D11" s="18">
        <v>0.3</v>
      </c>
      <c r="E11" s="18">
        <v>1310.5</v>
      </c>
      <c r="F11" s="18">
        <v>1113.3</v>
      </c>
      <c r="G11" s="20">
        <v>1.4</v>
      </c>
      <c r="H11" s="21">
        <v>0.5</v>
      </c>
      <c r="I11" s="18">
        <v>1954.1</v>
      </c>
      <c r="J11" s="14" t="str">
        <f t="shared" si="0"/>
        <v>High emissions intensity</v>
      </c>
      <c r="K11" s="9" t="s">
        <v>284</v>
      </c>
      <c r="L11" s="1"/>
      <c r="M11" s="1"/>
      <c r="N11" s="1"/>
    </row>
    <row r="12" spans="1:14" ht="28.5">
      <c r="A12" s="13" t="s">
        <v>216</v>
      </c>
      <c r="B12" s="13" t="s">
        <v>238</v>
      </c>
      <c r="C12" s="18">
        <v>0.4</v>
      </c>
      <c r="D12" s="18">
        <v>0.6</v>
      </c>
      <c r="E12" s="18">
        <v>706</v>
      </c>
      <c r="F12" s="18">
        <v>1804.1</v>
      </c>
      <c r="G12" s="20">
        <v>3</v>
      </c>
      <c r="H12" s="21">
        <v>0.1</v>
      </c>
      <c r="I12" s="18">
        <v>970.2</v>
      </c>
      <c r="J12" s="14" t="str">
        <f t="shared" si="0"/>
        <v>Monitor</v>
      </c>
      <c r="K12" s="9" t="s">
        <v>284</v>
      </c>
      <c r="L12" s="1"/>
      <c r="M12" s="1"/>
      <c r="N12" s="1"/>
    </row>
    <row r="13" spans="1:14">
      <c r="A13" s="1"/>
      <c r="B13" s="1"/>
      <c r="C13" s="1"/>
      <c r="D13" s="1"/>
      <c r="E13" s="1"/>
      <c r="F13" s="1"/>
      <c r="G13" s="1"/>
      <c r="H13" s="1"/>
      <c r="I13" s="1"/>
      <c r="J13" s="1"/>
      <c r="K13" s="1"/>
      <c r="L13" s="1"/>
      <c r="M13" s="1"/>
      <c r="N13" s="1"/>
    </row>
    <row r="14" spans="1:14" ht="21.95" customHeight="1">
      <c r="A14" s="40" t="s">
        <v>286</v>
      </c>
      <c r="B14" s="40"/>
      <c r="C14" s="40"/>
      <c r="D14" s="40"/>
      <c r="E14" s="40"/>
      <c r="F14" s="40"/>
      <c r="G14" s="40"/>
      <c r="H14" s="40"/>
      <c r="I14" s="40"/>
      <c r="J14" s="40"/>
      <c r="K14" s="40"/>
      <c r="L14" s="1"/>
      <c r="M14" s="1"/>
      <c r="N14" s="1"/>
    </row>
    <row r="15" spans="1:14" ht="105">
      <c r="A15" s="2" t="s">
        <v>287</v>
      </c>
      <c r="B15" s="2" t="s">
        <v>288</v>
      </c>
      <c r="C15" s="1"/>
      <c r="D15" s="1"/>
      <c r="E15" s="1"/>
      <c r="F15" s="1"/>
      <c r="G15" s="1"/>
      <c r="H15" s="1"/>
      <c r="I15" s="1"/>
      <c r="J15" s="1"/>
      <c r="K15" s="1"/>
      <c r="L15" s="1"/>
      <c r="M15" s="1"/>
      <c r="N15" s="1"/>
    </row>
    <row r="16" spans="1:14" ht="57">
      <c r="A16" s="3" t="s">
        <v>289</v>
      </c>
      <c r="B16" s="3" t="s">
        <v>290</v>
      </c>
      <c r="C16" s="1"/>
      <c r="D16" s="1"/>
      <c r="E16" s="1"/>
      <c r="F16" s="1"/>
      <c r="G16" s="1"/>
      <c r="H16" s="1"/>
      <c r="I16" s="1"/>
      <c r="J16" s="1"/>
      <c r="K16" s="1"/>
      <c r="L16" s="1"/>
      <c r="M16" s="1"/>
      <c r="N16" s="1"/>
    </row>
    <row r="17" spans="1:14" ht="57">
      <c r="A17" s="3" t="s">
        <v>291</v>
      </c>
      <c r="B17" s="3" t="s">
        <v>292</v>
      </c>
      <c r="C17" s="1"/>
      <c r="D17" s="1"/>
      <c r="E17" s="1"/>
      <c r="F17" s="1"/>
      <c r="G17" s="1"/>
      <c r="H17" s="1"/>
      <c r="I17" s="1"/>
      <c r="J17" s="1"/>
      <c r="K17" s="1"/>
      <c r="L17" s="1"/>
      <c r="M17" s="1"/>
      <c r="N17" s="1"/>
    </row>
    <row r="18" spans="1:14" ht="28.5">
      <c r="A18" s="3" t="s">
        <v>293</v>
      </c>
      <c r="B18" s="3" t="s">
        <v>294</v>
      </c>
      <c r="C18" s="1"/>
      <c r="D18" s="1"/>
      <c r="E18" s="1"/>
      <c r="F18" s="1"/>
      <c r="G18" s="1"/>
      <c r="H18" s="1"/>
      <c r="I18" s="1"/>
      <c r="J18" s="1"/>
      <c r="K18" s="1"/>
      <c r="L18" s="1"/>
      <c r="M18" s="1"/>
      <c r="N18" s="1"/>
    </row>
    <row r="19" spans="1:14" ht="42.75">
      <c r="A19" s="3" t="s">
        <v>295</v>
      </c>
      <c r="B19" s="3" t="s">
        <v>296</v>
      </c>
      <c r="C19" s="1"/>
      <c r="D19" s="1"/>
      <c r="E19" s="1"/>
      <c r="F19" s="1"/>
      <c r="G19" s="1"/>
      <c r="H19" s="1"/>
      <c r="I19" s="1"/>
      <c r="J19" s="1"/>
      <c r="K19" s="1"/>
      <c r="L19" s="1"/>
      <c r="M19" s="1"/>
      <c r="N19" s="1"/>
    </row>
    <row r="20" spans="1:14" ht="71.25">
      <c r="A20" s="3" t="s">
        <v>297</v>
      </c>
      <c r="B20" s="3" t="s">
        <v>298</v>
      </c>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2">
    <mergeCell ref="A1:K1"/>
    <mergeCell ref="A14:K14"/>
  </mergeCells>
  <conditionalFormatting sqref="E4:E12">
    <cfRule type="dataBar" priority="2">
      <dataBar>
        <cfvo type="min"/>
        <cfvo type="max"/>
        <color rgb="FF0F9ED5"/>
      </dataBar>
    </cfRule>
    <cfRule type="dataBar" priority="3">
      <dataBar>
        <cfvo type="min"/>
        <cfvo type="max"/>
        <color rgb="FF0F9ED5"/>
      </dataBar>
      <extLst>
        <ext xmlns:x14="http://schemas.microsoft.com/office/spreadsheetml/2009/9/main" uri="{B025F937-C7B1-47D3-B67F-A62EFF666E3E}">
          <x14:id>{B5C12231-E78F-13E2-59BE-C9D09FB6687C}</x14:id>
        </ext>
      </extLst>
    </cfRule>
  </conditionalFormatting>
  <conditionalFormatting sqref="G4:G12">
    <cfRule type="colorScale" priority="1">
      <colorScale>
        <cfvo type="min"/>
        <cfvo type="percentile" val="50"/>
        <cfvo type="max"/>
        <color rgb="FFD9EAD3"/>
        <color rgb="FFFFF2CC"/>
        <color rgb="FFF4CCCC"/>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5C12231-E78F-13E2-59BE-C9D09FB6687C}">
            <x14:dataBar>
              <x14:cfvo type="min"/>
              <x14:cfvo type="max"/>
              <x14:negativeFillColor auto="1"/>
              <x14:axisColor auto="1"/>
            </x14:dataBar>
          </x14:cfRule>
          <xm:sqref>E4:E12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
  <sheetViews>
    <sheetView workbookViewId="0">
      <selection sqref="A1:H1"/>
    </sheetView>
  </sheetViews>
  <sheetFormatPr defaultRowHeight="14.25"/>
  <cols>
    <col min="1" max="1" width="18" customWidth="1"/>
    <col min="2" max="2" width="28" customWidth="1"/>
    <col min="3" max="3" width="36" customWidth="1"/>
    <col min="4" max="4" width="42" customWidth="1"/>
    <col min="5" max="5" width="34" customWidth="1"/>
    <col min="6" max="6" width="24" customWidth="1"/>
    <col min="7" max="7" width="30" customWidth="1"/>
    <col min="8" max="8" width="16" customWidth="1"/>
  </cols>
  <sheetData>
    <row r="1" spans="1:14" ht="27.95" customHeight="1">
      <c r="A1" s="39" t="s">
        <v>299</v>
      </c>
      <c r="B1" s="39"/>
      <c r="C1" s="39"/>
      <c r="D1" s="39"/>
      <c r="E1" s="39"/>
      <c r="F1" s="39"/>
      <c r="G1" s="39"/>
      <c r="H1" s="39"/>
      <c r="I1" s="1"/>
      <c r="J1" s="1"/>
      <c r="K1" s="1"/>
      <c r="L1" s="1"/>
      <c r="M1" s="1"/>
      <c r="N1" s="1"/>
    </row>
    <row r="2" spans="1:14">
      <c r="A2" s="1"/>
      <c r="B2" s="1"/>
      <c r="C2" s="1"/>
      <c r="D2" s="1"/>
      <c r="E2" s="1"/>
      <c r="F2" s="1"/>
      <c r="G2" s="1"/>
      <c r="H2" s="1"/>
      <c r="I2" s="1"/>
      <c r="J2" s="1"/>
      <c r="K2" s="1"/>
      <c r="L2" s="1"/>
      <c r="M2" s="1"/>
      <c r="N2" s="1"/>
    </row>
    <row r="3" spans="1:14" ht="15">
      <c r="A3" s="2" t="s">
        <v>300</v>
      </c>
      <c r="B3" s="2" t="s">
        <v>301</v>
      </c>
      <c r="C3" s="2" t="s">
        <v>302</v>
      </c>
      <c r="D3" s="2" t="s">
        <v>303</v>
      </c>
      <c r="E3" s="2" t="s">
        <v>304</v>
      </c>
      <c r="F3" s="2" t="s">
        <v>305</v>
      </c>
      <c r="G3" s="2" t="s">
        <v>306</v>
      </c>
      <c r="H3" s="2" t="s">
        <v>144</v>
      </c>
      <c r="I3" s="1"/>
      <c r="J3" s="1"/>
      <c r="K3" s="1"/>
      <c r="L3" s="1"/>
      <c r="M3" s="1"/>
      <c r="N3" s="1"/>
    </row>
    <row r="4" spans="1:14" ht="42.75">
      <c r="A4" s="3" t="s">
        <v>307</v>
      </c>
      <c r="B4" s="3" t="s">
        <v>308</v>
      </c>
      <c r="C4" s="3" t="s">
        <v>309</v>
      </c>
      <c r="D4" s="3" t="s">
        <v>310</v>
      </c>
      <c r="E4" s="3" t="s">
        <v>311</v>
      </c>
      <c r="F4" s="3" t="s">
        <v>312</v>
      </c>
      <c r="G4" s="3" t="s">
        <v>313</v>
      </c>
      <c r="H4" s="3" t="s">
        <v>314</v>
      </c>
      <c r="I4" s="1"/>
      <c r="J4" s="1"/>
      <c r="K4" s="1"/>
      <c r="L4" s="1"/>
      <c r="M4" s="1"/>
      <c r="N4" s="1"/>
    </row>
    <row r="5" spans="1:14" ht="42.75">
      <c r="A5" s="3" t="s">
        <v>315</v>
      </c>
      <c r="B5" s="3" t="s">
        <v>316</v>
      </c>
      <c r="C5" s="3" t="s">
        <v>317</v>
      </c>
      <c r="D5" s="3" t="s">
        <v>318</v>
      </c>
      <c r="E5" s="3" t="s">
        <v>319</v>
      </c>
      <c r="F5" s="3" t="s">
        <v>320</v>
      </c>
      <c r="G5" s="3" t="s">
        <v>321</v>
      </c>
      <c r="H5" s="3" t="s">
        <v>314</v>
      </c>
      <c r="I5" s="1"/>
      <c r="J5" s="1"/>
      <c r="K5" s="1"/>
      <c r="L5" s="1"/>
      <c r="M5" s="1"/>
      <c r="N5" s="1"/>
    </row>
    <row r="6" spans="1:14" ht="28.5">
      <c r="A6" s="3" t="s">
        <v>322</v>
      </c>
      <c r="B6" s="3" t="s">
        <v>323</v>
      </c>
      <c r="C6" s="3" t="s">
        <v>324</v>
      </c>
      <c r="D6" s="3" t="s">
        <v>325</v>
      </c>
      <c r="E6" s="3" t="s">
        <v>326</v>
      </c>
      <c r="F6" s="3" t="s">
        <v>327</v>
      </c>
      <c r="G6" s="3" t="s">
        <v>328</v>
      </c>
      <c r="H6" s="3" t="s">
        <v>314</v>
      </c>
      <c r="I6" s="1"/>
      <c r="J6" s="1"/>
      <c r="K6" s="1"/>
      <c r="L6" s="1"/>
      <c r="M6" s="1"/>
      <c r="N6" s="1"/>
    </row>
    <row r="7" spans="1:14">
      <c r="A7" s="1"/>
      <c r="B7" s="1"/>
      <c r="C7" s="1"/>
      <c r="D7" s="1"/>
      <c r="E7" s="1"/>
      <c r="F7" s="1"/>
      <c r="G7" s="1"/>
      <c r="H7" s="1"/>
      <c r="I7" s="1"/>
      <c r="J7" s="1"/>
      <c r="K7" s="1"/>
      <c r="L7" s="1"/>
      <c r="M7" s="1"/>
      <c r="N7" s="1"/>
    </row>
    <row r="8" spans="1:14" ht="21.95" customHeight="1">
      <c r="A8" s="40" t="s">
        <v>329</v>
      </c>
      <c r="B8" s="40"/>
      <c r="C8" s="40"/>
      <c r="D8" s="40"/>
      <c r="E8" s="40"/>
      <c r="F8" s="40"/>
      <c r="G8" s="40"/>
      <c r="H8" s="40"/>
      <c r="I8" s="1"/>
      <c r="J8" s="1"/>
      <c r="K8" s="1"/>
      <c r="L8" s="1"/>
      <c r="M8" s="1"/>
      <c r="N8" s="1"/>
    </row>
    <row r="9" spans="1:14" ht="15">
      <c r="A9" s="2" t="s">
        <v>330</v>
      </c>
      <c r="B9" s="2" t="s">
        <v>331</v>
      </c>
      <c r="C9" s="2" t="s">
        <v>332</v>
      </c>
      <c r="D9" s="2" t="s">
        <v>333</v>
      </c>
      <c r="E9" s="2" t="s">
        <v>334</v>
      </c>
      <c r="F9" s="2" t="s">
        <v>335</v>
      </c>
      <c r="G9" s="2" t="s">
        <v>336</v>
      </c>
      <c r="H9" s="2" t="s">
        <v>337</v>
      </c>
      <c r="I9" s="1"/>
      <c r="J9" s="1"/>
      <c r="K9" s="1"/>
      <c r="L9" s="1"/>
      <c r="M9" s="1"/>
      <c r="N9" s="1"/>
    </row>
    <row r="10" spans="1:14">
      <c r="A10" s="1"/>
      <c r="B10" s="1"/>
      <c r="C10" s="1"/>
      <c r="D10" s="22"/>
      <c r="E10" s="22"/>
      <c r="F10" s="23" t="str">
        <f t="shared" ref="F10:F15" si="0">IF(OR(D10="",E10=""),"",D10*(6-E10))</f>
        <v/>
      </c>
      <c r="G10" s="23" t="str">
        <f t="shared" ref="G10:G15" si="1">IF(F10="","",IF(F10&gt;=12,"Yes","No"))</f>
        <v/>
      </c>
      <c r="H10" s="1"/>
      <c r="I10" s="1"/>
      <c r="J10" s="1"/>
      <c r="K10" s="1"/>
      <c r="L10" s="1"/>
      <c r="M10" s="1"/>
      <c r="N10" s="1"/>
    </row>
    <row r="11" spans="1:14">
      <c r="A11" s="1"/>
      <c r="B11" s="1"/>
      <c r="C11" s="1"/>
      <c r="D11" s="22"/>
      <c r="E11" s="22"/>
      <c r="F11" s="23" t="str">
        <f t="shared" si="0"/>
        <v/>
      </c>
      <c r="G11" s="23" t="str">
        <f t="shared" si="1"/>
        <v/>
      </c>
      <c r="H11" s="1"/>
      <c r="I11" s="1"/>
      <c r="J11" s="1"/>
      <c r="K11" s="1"/>
      <c r="L11" s="1"/>
      <c r="M11" s="1"/>
      <c r="N11" s="1"/>
    </row>
    <row r="12" spans="1:14">
      <c r="A12" s="1"/>
      <c r="B12" s="1"/>
      <c r="C12" s="1"/>
      <c r="D12" s="22"/>
      <c r="E12" s="22"/>
      <c r="F12" s="23" t="str">
        <f t="shared" si="0"/>
        <v/>
      </c>
      <c r="G12" s="23" t="str">
        <f t="shared" si="1"/>
        <v/>
      </c>
      <c r="H12" s="1"/>
      <c r="I12" s="1"/>
      <c r="J12" s="1"/>
      <c r="K12" s="1"/>
      <c r="L12" s="1"/>
      <c r="M12" s="1"/>
      <c r="N12" s="1"/>
    </row>
    <row r="13" spans="1:14">
      <c r="A13" s="1"/>
      <c r="B13" s="1"/>
      <c r="C13" s="1"/>
      <c r="D13" s="22"/>
      <c r="E13" s="22"/>
      <c r="F13" s="23" t="str">
        <f t="shared" si="0"/>
        <v/>
      </c>
      <c r="G13" s="23" t="str">
        <f t="shared" si="1"/>
        <v/>
      </c>
      <c r="H13" s="1"/>
      <c r="I13" s="1"/>
      <c r="J13" s="1"/>
      <c r="K13" s="1"/>
      <c r="L13" s="1"/>
      <c r="M13" s="1"/>
      <c r="N13" s="1"/>
    </row>
    <row r="14" spans="1:14">
      <c r="A14" s="1"/>
      <c r="B14" s="1"/>
      <c r="C14" s="1"/>
      <c r="D14" s="22"/>
      <c r="E14" s="22"/>
      <c r="F14" s="23" t="str">
        <f t="shared" si="0"/>
        <v/>
      </c>
      <c r="G14" s="23" t="str">
        <f t="shared" si="1"/>
        <v/>
      </c>
      <c r="H14" s="1"/>
      <c r="I14" s="1"/>
      <c r="J14" s="1"/>
      <c r="K14" s="1"/>
      <c r="L14" s="1"/>
      <c r="M14" s="1"/>
      <c r="N14" s="1"/>
    </row>
    <row r="15" spans="1:14">
      <c r="A15" s="1"/>
      <c r="B15" s="1"/>
      <c r="C15" s="1"/>
      <c r="D15" s="22"/>
      <c r="E15" s="22"/>
      <c r="F15" s="23" t="str">
        <f t="shared" si="0"/>
        <v/>
      </c>
      <c r="G15" s="23" t="str">
        <f t="shared" si="1"/>
        <v/>
      </c>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2">
    <mergeCell ref="A1:H1"/>
    <mergeCell ref="A8:H8"/>
  </mergeCells>
  <conditionalFormatting sqref="F10:F15">
    <cfRule type="colorScale" priority="1">
      <colorScale>
        <cfvo type="min"/>
        <cfvo type="percentile" val="50"/>
        <cfvo type="max"/>
        <color rgb="FFD9EAD3"/>
        <color rgb="FFFFF2CC"/>
        <color rgb="FFF4CCCC"/>
      </colorScale>
    </cfRule>
  </conditionalFormatting>
  <dataValidations count="1">
    <dataValidation type="list" sqref="D10:E15" xr:uid="{00000000-0002-0000-0700-000000000000}">
      <formula1>"1,2,3,4,5"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0"/>
  <sheetViews>
    <sheetView workbookViewId="0">
      <selection activeCell="A3" sqref="A3:N12"/>
    </sheetView>
  </sheetViews>
  <sheetFormatPr defaultRowHeight="14.25"/>
  <cols>
    <col min="1" max="1" width="20" customWidth="1"/>
    <col min="2" max="2" width="18" customWidth="1"/>
    <col min="3" max="4" width="16" customWidth="1"/>
    <col min="5" max="5" width="18" customWidth="1"/>
    <col min="6" max="7" width="20" customWidth="1"/>
    <col min="8" max="8" width="23" customWidth="1"/>
    <col min="9" max="9" width="16" customWidth="1"/>
    <col min="10" max="10" width="15" customWidth="1"/>
    <col min="11" max="11" width="18" customWidth="1"/>
    <col min="12" max="12" width="15" customWidth="1"/>
    <col min="13" max="13" width="18" customWidth="1"/>
    <col min="14" max="14" width="25" customWidth="1"/>
  </cols>
  <sheetData>
    <row r="1" spans="1:14" ht="27.95" customHeight="1">
      <c r="A1" s="39" t="s">
        <v>338</v>
      </c>
      <c r="B1" s="39"/>
      <c r="C1" s="39"/>
      <c r="D1" s="39"/>
      <c r="E1" s="39"/>
      <c r="F1" s="39"/>
      <c r="G1" s="39"/>
      <c r="H1" s="39"/>
      <c r="I1" s="39"/>
      <c r="J1" s="39"/>
      <c r="K1" s="39"/>
      <c r="L1" s="39"/>
      <c r="M1" s="39"/>
      <c r="N1" s="39"/>
    </row>
    <row r="2" spans="1:14">
      <c r="A2" s="1"/>
      <c r="B2" s="1"/>
      <c r="C2" s="1"/>
      <c r="D2" s="1"/>
      <c r="E2" s="1"/>
      <c r="F2" s="1"/>
      <c r="G2" s="1"/>
      <c r="H2" s="1"/>
      <c r="I2" s="1"/>
      <c r="J2" s="1"/>
      <c r="K2" s="1"/>
      <c r="L2" s="1"/>
      <c r="M2" s="1"/>
      <c r="N2" s="1"/>
    </row>
    <row r="3" spans="1:14" ht="30">
      <c r="A3" s="2" t="s">
        <v>190</v>
      </c>
      <c r="B3" s="2" t="s">
        <v>191</v>
      </c>
      <c r="C3" s="2" t="s">
        <v>134</v>
      </c>
      <c r="D3" s="2" t="s">
        <v>132</v>
      </c>
      <c r="E3" s="2" t="s">
        <v>339</v>
      </c>
      <c r="F3" s="2" t="s">
        <v>340</v>
      </c>
      <c r="G3" s="2" t="s">
        <v>341</v>
      </c>
      <c r="H3" s="2" t="s">
        <v>342</v>
      </c>
      <c r="I3" s="2" t="s">
        <v>343</v>
      </c>
      <c r="J3" s="2" t="s">
        <v>344</v>
      </c>
      <c r="K3" s="2" t="s">
        <v>345</v>
      </c>
      <c r="L3" s="2" t="s">
        <v>346</v>
      </c>
      <c r="M3" s="2" t="s">
        <v>347</v>
      </c>
      <c r="N3" s="2" t="s">
        <v>123</v>
      </c>
    </row>
    <row r="4" spans="1:14">
      <c r="A4" s="3" t="s">
        <v>209</v>
      </c>
      <c r="B4" s="24">
        <v>31724</v>
      </c>
      <c r="C4" s="3" t="s">
        <v>206</v>
      </c>
      <c r="D4" s="3" t="s">
        <v>206</v>
      </c>
      <c r="E4" s="15">
        <f>((IF(C4="High",3,IF(C4="Moderate",2,IF(C4="Low",1,0)))/3)+(IF(D4="Very high",5,IF(D4="High",4,IF(D4="Moderate",3,IF(D4="Low",2,0))))/5))/2</f>
        <v>0.9</v>
      </c>
      <c r="F4" s="25">
        <f>'Carbon Intensity Targets'!H5</f>
        <v>-0.17199999999999999</v>
      </c>
      <c r="G4" s="25">
        <f>'Carbon Intensity Targets'!J5</f>
        <v>0.38222222222222219</v>
      </c>
      <c r="H4" s="26">
        <f>'Financed Emissions'!I5</f>
        <v>242.5</v>
      </c>
      <c r="I4" s="27">
        <f>'Financed Emissions'!G5</f>
        <v>3.2</v>
      </c>
      <c r="J4" s="15">
        <f>MIN(1,B4/50000)</f>
        <v>0.63448000000000004</v>
      </c>
      <c r="K4" s="15">
        <f>MAX(0,1-G4)</f>
        <v>0.61777777777777776</v>
      </c>
      <c r="L4" s="15">
        <f>MIN(1,H4/2000)</f>
        <v>0.12125</v>
      </c>
      <c r="M4" s="15">
        <f>0.35*E4+0.25*J4+0.2*K4+0.2*L4</f>
        <v>0.62142555555555556</v>
      </c>
      <c r="N4" s="14" t="str">
        <f>IF(M4&gt;=0.75,"Priority 1 - deep dive",IF(M4&gt;=0.55,"Priority 2 - monitor","Priority 3 - watch"))</f>
        <v>Priority 2 - monitor</v>
      </c>
    </row>
    <row r="5" spans="1:14">
      <c r="A5" s="3" t="s">
        <v>240</v>
      </c>
      <c r="B5" s="24">
        <v>12909</v>
      </c>
      <c r="C5" s="3" t="s">
        <v>198</v>
      </c>
      <c r="D5" s="3" t="s">
        <v>212</v>
      </c>
      <c r="E5" s="15">
        <f>((IF(C5="High",3,IF(C5="Moderate",2,IF(C5="Low",1,0)))/3)+(IF(D5="Very high",5,IF(D5="High",4,IF(D5="Moderate",3,IF(D5="Low",2,0))))/5))/2</f>
        <v>0.83333333333333326</v>
      </c>
      <c r="F5" s="25">
        <f>'Carbon Intensity Targets'!H6</f>
        <v>-0.27500000000000002</v>
      </c>
      <c r="G5" s="25">
        <f>'Carbon Intensity Targets'!J6</f>
        <v>0.39855072463768121</v>
      </c>
      <c r="H5" s="26">
        <f>'Financed Emissions'!I6</f>
        <v>621.79999999999995</v>
      </c>
      <c r="I5" s="27">
        <f>'Financed Emissions'!G6</f>
        <v>3.1</v>
      </c>
      <c r="J5" s="15">
        <f>MIN(1,B5/50000)</f>
        <v>0.25818000000000002</v>
      </c>
      <c r="K5" s="15">
        <f>MAX(0,1-G5)</f>
        <v>0.60144927536231885</v>
      </c>
      <c r="L5" s="15">
        <f>MIN(1,H5/2000)</f>
        <v>0.31089999999999995</v>
      </c>
      <c r="M5" s="15">
        <f>0.35*E5+0.25*J5+0.2*K5+0.2*L5</f>
        <v>0.53868152173913042</v>
      </c>
      <c r="N5" s="14" t="str">
        <f>IF(M5&gt;=0.75,"Priority 1 - deep dive",IF(M5&gt;=0.55,"Priority 2 - monitor","Priority 3 - watch"))</f>
        <v>Priority 3 - watch</v>
      </c>
    </row>
    <row r="6" spans="1:14">
      <c r="A6" s="3" t="s">
        <v>210</v>
      </c>
      <c r="B6" s="24">
        <v>16865</v>
      </c>
      <c r="C6" s="3" t="s">
        <v>206</v>
      </c>
      <c r="D6" s="3" t="s">
        <v>198</v>
      </c>
      <c r="E6" s="15">
        <f>((IF(C6="High",3,IF(C6="Moderate",2,IF(C6="Low",1,0)))/3)+(IF(D6="Very high",5,IF(D6="High",4,IF(D6="Moderate",3,IF(D6="Low",2,0))))/5))/2</f>
        <v>0.8</v>
      </c>
      <c r="F6" s="25">
        <f>'Carbon Intensity Targets'!H7</f>
        <v>-0.20300000000000001</v>
      </c>
      <c r="G6" s="25">
        <f>'Carbon Intensity Targets'!J7</f>
        <v>0.42291666666666672</v>
      </c>
      <c r="H6" s="26">
        <f>'Financed Emissions'!I7</f>
        <v>853</v>
      </c>
      <c r="I6" s="27">
        <f>'Financed Emissions'!G7</f>
        <v>3.1</v>
      </c>
      <c r="J6" s="15">
        <f>MIN(1,B6/50000)</f>
        <v>0.33729999999999999</v>
      </c>
      <c r="K6" s="15">
        <f>MAX(0,1-G6)</f>
        <v>0.57708333333333328</v>
      </c>
      <c r="L6" s="15">
        <f>MIN(1,H6/2000)</f>
        <v>0.42649999999999999</v>
      </c>
      <c r="M6" s="15">
        <f>0.35*E6+0.25*J6+0.2*K6+0.2*L6</f>
        <v>0.56504166666666666</v>
      </c>
      <c r="N6" s="14" t="str">
        <f>IF(M6&gt;=0.75,"Priority 1 - deep dive",IF(M6&gt;=0.55,"Priority 2 - monitor","Priority 3 - watch"))</f>
        <v>Priority 2 - monitor</v>
      </c>
    </row>
    <row r="7" spans="1:14">
      <c r="A7" s="3" t="s">
        <v>250</v>
      </c>
      <c r="B7" s="24">
        <v>3947</v>
      </c>
      <c r="C7" s="3" t="s">
        <v>206</v>
      </c>
      <c r="D7" s="3" t="s">
        <v>206</v>
      </c>
      <c r="E7" s="15">
        <f>((IF(C7="High",3,IF(C7="Moderate",2,IF(C7="Low",1,0)))/3)+(IF(D7="Very high",5,IF(D7="High",4,IF(D7="Moderate",3,IF(D7="Low",2,0))))/5))/2</f>
        <v>0.9</v>
      </c>
      <c r="F7" s="25">
        <f>'Carbon Intensity Targets'!H10</f>
        <v>-8.5999999999999993E-2</v>
      </c>
      <c r="G7" s="25">
        <f>'Carbon Intensity Targets'!J10</f>
        <v>0.28666666666666668</v>
      </c>
      <c r="H7" s="26">
        <f>'Financed Emissions'!I10</f>
        <v>1444.6</v>
      </c>
      <c r="I7" s="27">
        <f>'Financed Emissions'!G10</f>
        <v>1.2</v>
      </c>
      <c r="J7" s="15">
        <f>MIN(1,B7/50000)</f>
        <v>7.8939999999999996E-2</v>
      </c>
      <c r="K7" s="15">
        <f>MAX(0,1-G7)</f>
        <v>0.71333333333333337</v>
      </c>
      <c r="L7" s="15">
        <f>MIN(1,H7/2000)</f>
        <v>0.72229999999999994</v>
      </c>
      <c r="M7" s="15">
        <f>0.35*E7+0.25*J7+0.2*K7+0.2*L7</f>
        <v>0.62186166666666676</v>
      </c>
      <c r="N7" s="14" t="str">
        <f>IF(M7&gt;=0.75,"Priority 1 - deep dive",IF(M7&gt;=0.55,"Priority 2 - monitor","Priority 3 - watch"))</f>
        <v>Priority 2 - monitor</v>
      </c>
    </row>
    <row r="8" spans="1:14">
      <c r="A8" s="3" t="s">
        <v>216</v>
      </c>
      <c r="B8" s="24">
        <v>1066</v>
      </c>
      <c r="C8" s="3" t="s">
        <v>206</v>
      </c>
      <c r="D8" s="3" t="s">
        <v>212</v>
      </c>
      <c r="E8" s="15">
        <f>((IF(C8="High",3,IF(C8="Moderate",2,IF(C8="Low",1,0)))/3)+(IF(D8="Very high",5,IF(D8="High",4,IF(D8="Moderate",3,IF(D8="Low",2,0))))/5))/2</f>
        <v>1</v>
      </c>
      <c r="F8" s="25">
        <f>'Carbon Intensity Targets'!H12</f>
        <v>0.104</v>
      </c>
      <c r="G8" s="25">
        <f>'Carbon Intensity Targets'!J12</f>
        <v>-0.43333333333333335</v>
      </c>
      <c r="H8" s="26">
        <f>'Financed Emissions'!I12</f>
        <v>970.2</v>
      </c>
      <c r="I8" s="27">
        <f>'Financed Emissions'!G12</f>
        <v>3</v>
      </c>
      <c r="J8" s="15">
        <f>MIN(1,B8/50000)</f>
        <v>2.1319999999999999E-2</v>
      </c>
      <c r="K8" s="15">
        <f>MAX(0,1-G8)</f>
        <v>1.4333333333333333</v>
      </c>
      <c r="L8" s="15">
        <f>MIN(1,H8/2000)</f>
        <v>0.48510000000000003</v>
      </c>
      <c r="M8" s="15">
        <f>0.35*E8+0.25*J8+0.2*K8+0.2*L8</f>
        <v>0.73901666666666666</v>
      </c>
      <c r="N8" s="14" t="str">
        <f>IF(M8&gt;=0.75,"Priority 1 - deep dive",IF(M8&gt;=0.55,"Priority 2 - monitor","Priority 3 - watch"))</f>
        <v>Priority 2 - monitor</v>
      </c>
    </row>
    <row r="9" spans="1:14">
      <c r="A9" s="1"/>
      <c r="B9" s="1"/>
      <c r="C9" s="1"/>
      <c r="D9" s="1"/>
      <c r="E9" s="1"/>
      <c r="F9" s="1"/>
      <c r="G9" s="1"/>
      <c r="H9" s="1"/>
      <c r="I9" s="1"/>
      <c r="J9" s="1"/>
      <c r="K9" s="1"/>
      <c r="L9" s="1"/>
      <c r="M9" s="1"/>
      <c r="N9" s="1"/>
    </row>
    <row r="10" spans="1:14">
      <c r="A10" s="42" t="s">
        <v>348</v>
      </c>
      <c r="B10" s="42"/>
      <c r="C10" s="42"/>
      <c r="D10" s="42"/>
      <c r="E10" s="42"/>
      <c r="F10" s="42"/>
      <c r="G10" s="42"/>
      <c r="H10" s="42"/>
      <c r="I10" s="42"/>
      <c r="J10" s="42"/>
      <c r="K10" s="42"/>
      <c r="L10" s="42"/>
      <c r="M10" s="42"/>
      <c r="N10" s="42"/>
    </row>
    <row r="11" spans="1:14">
      <c r="A11" s="42"/>
      <c r="B11" s="42"/>
      <c r="C11" s="42"/>
      <c r="D11" s="42"/>
      <c r="E11" s="42"/>
      <c r="F11" s="42"/>
      <c r="G11" s="42"/>
      <c r="H11" s="42"/>
      <c r="I11" s="42"/>
      <c r="J11" s="42"/>
      <c r="K11" s="42"/>
      <c r="L11" s="42"/>
      <c r="M11" s="42"/>
      <c r="N11" s="42"/>
    </row>
    <row r="12" spans="1:14">
      <c r="A12" s="42"/>
      <c r="B12" s="42"/>
      <c r="C12" s="42"/>
      <c r="D12" s="42"/>
      <c r="E12" s="42"/>
      <c r="F12" s="42"/>
      <c r="G12" s="42"/>
      <c r="H12" s="42"/>
      <c r="I12" s="42"/>
      <c r="J12" s="42"/>
      <c r="K12" s="42"/>
      <c r="L12" s="42"/>
      <c r="M12" s="42"/>
      <c r="N12" s="42"/>
    </row>
    <row r="13" spans="1:14">
      <c r="A13" s="1"/>
      <c r="B13" s="1"/>
      <c r="C13" s="1"/>
      <c r="D13" s="1"/>
      <c r="E13" s="1"/>
      <c r="F13" s="1"/>
      <c r="G13" s="1"/>
      <c r="H13" s="1"/>
      <c r="I13" s="1"/>
      <c r="J13" s="1"/>
      <c r="K13" s="1"/>
      <c r="L13" s="1"/>
      <c r="M13" s="1"/>
      <c r="N13" s="1"/>
    </row>
    <row r="14" spans="1:14">
      <c r="A14" s="1"/>
      <c r="B14" s="1"/>
      <c r="C14" s="1"/>
      <c r="D14" s="1"/>
      <c r="E14" s="1"/>
      <c r="F14" s="1"/>
      <c r="G14" s="1"/>
      <c r="H14" s="1"/>
      <c r="I14" s="1"/>
      <c r="J14" s="1"/>
      <c r="K14" s="1"/>
      <c r="L14" s="1"/>
      <c r="M14" s="1"/>
      <c r="N14" s="1"/>
    </row>
    <row r="15" spans="1:14">
      <c r="A15" s="1"/>
      <c r="B15" s="1"/>
      <c r="C15" s="1"/>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2">
    <mergeCell ref="A1:N1"/>
    <mergeCell ref="A10:N12"/>
  </mergeCells>
  <conditionalFormatting sqref="M4:M8">
    <cfRule type="colorScale" priority="1">
      <colorScale>
        <cfvo type="min"/>
        <cfvo type="percentile" val="50"/>
        <cfvo type="max"/>
        <color rgb="FFD9EAD3"/>
        <color rgb="FFFFF2CC"/>
        <color rgb="FFF4CCCC"/>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00"/>
  <sheetViews>
    <sheetView workbookViewId="0">
      <selection sqref="A1:K1"/>
    </sheetView>
  </sheetViews>
  <sheetFormatPr defaultRowHeight="14.25"/>
  <cols>
    <col min="1" max="1" width="12" customWidth="1"/>
    <col min="2" max="2" width="22" customWidth="1"/>
    <col min="3" max="3" width="28" customWidth="1"/>
    <col min="4" max="4" width="30" customWidth="1"/>
    <col min="5" max="5" width="28" customWidth="1"/>
    <col min="6" max="6" width="30" customWidth="1"/>
    <col min="7" max="7" width="14" customWidth="1"/>
    <col min="8" max="8" width="16" customWidth="1"/>
    <col min="9" max="9" width="20" customWidth="1"/>
    <col min="10" max="11" width="24" customWidth="1"/>
  </cols>
  <sheetData>
    <row r="1" spans="1:14" ht="27.95" customHeight="1">
      <c r="A1" s="39" t="s">
        <v>349</v>
      </c>
      <c r="B1" s="39"/>
      <c r="C1" s="39"/>
      <c r="D1" s="39"/>
      <c r="E1" s="39"/>
      <c r="F1" s="39"/>
      <c r="G1" s="39"/>
      <c r="H1" s="39"/>
      <c r="I1" s="39"/>
      <c r="J1" s="39"/>
      <c r="K1" s="39"/>
      <c r="L1" s="1"/>
      <c r="M1" s="1"/>
      <c r="N1" s="1"/>
    </row>
    <row r="2" spans="1:14">
      <c r="A2" s="1"/>
      <c r="B2" s="1"/>
      <c r="C2" s="1"/>
      <c r="D2" s="1"/>
      <c r="E2" s="1"/>
      <c r="F2" s="1"/>
      <c r="G2" s="1"/>
      <c r="H2" s="1"/>
      <c r="I2" s="1"/>
      <c r="J2" s="1"/>
      <c r="K2" s="1"/>
      <c r="L2" s="1"/>
      <c r="M2" s="1"/>
      <c r="N2" s="1"/>
    </row>
    <row r="3" spans="1:14" ht="15">
      <c r="A3" s="2" t="s">
        <v>350</v>
      </c>
      <c r="B3" s="2" t="s">
        <v>351</v>
      </c>
      <c r="C3" s="2" t="s">
        <v>352</v>
      </c>
      <c r="D3" s="2" t="s">
        <v>353</v>
      </c>
      <c r="E3" s="2" t="s">
        <v>354</v>
      </c>
      <c r="F3" s="2" t="s">
        <v>355</v>
      </c>
      <c r="G3" s="2" t="s">
        <v>356</v>
      </c>
      <c r="H3" s="2" t="s">
        <v>357</v>
      </c>
      <c r="I3" s="2" t="s">
        <v>358</v>
      </c>
      <c r="J3" s="2" t="s">
        <v>359</v>
      </c>
      <c r="K3" s="2" t="s">
        <v>360</v>
      </c>
      <c r="L3" s="1"/>
      <c r="M3" s="1"/>
      <c r="N3" s="1"/>
    </row>
    <row r="4" spans="1:14" ht="28.5">
      <c r="A4" s="3" t="s">
        <v>361</v>
      </c>
      <c r="B4" s="3" t="s">
        <v>362</v>
      </c>
      <c r="C4" s="3" t="s">
        <v>363</v>
      </c>
      <c r="D4" s="3" t="s">
        <v>364</v>
      </c>
      <c r="E4" s="3" t="s">
        <v>365</v>
      </c>
      <c r="F4" s="3" t="s">
        <v>366</v>
      </c>
      <c r="G4" s="3" t="s">
        <v>367</v>
      </c>
      <c r="H4" s="3"/>
      <c r="I4" s="3" t="s">
        <v>368</v>
      </c>
      <c r="J4" s="3"/>
      <c r="K4" s="3"/>
      <c r="L4" s="1"/>
      <c r="M4" s="1"/>
      <c r="N4" s="1"/>
    </row>
    <row r="5" spans="1:14" ht="28.5">
      <c r="A5" s="3" t="s">
        <v>369</v>
      </c>
      <c r="B5" s="3" t="s">
        <v>370</v>
      </c>
      <c r="C5" s="3" t="s">
        <v>371</v>
      </c>
      <c r="D5" s="3" t="s">
        <v>372</v>
      </c>
      <c r="E5" s="3" t="s">
        <v>373</v>
      </c>
      <c r="F5" s="3" t="s">
        <v>374</v>
      </c>
      <c r="G5" s="3" t="s">
        <v>367</v>
      </c>
      <c r="H5" s="3"/>
      <c r="I5" s="3" t="s">
        <v>375</v>
      </c>
      <c r="J5" s="3"/>
      <c r="K5" s="3"/>
      <c r="L5" s="1"/>
      <c r="M5" s="1"/>
      <c r="N5" s="1"/>
    </row>
    <row r="6" spans="1:14" ht="28.5">
      <c r="A6" s="3" t="s">
        <v>376</v>
      </c>
      <c r="B6" s="3" t="s">
        <v>377</v>
      </c>
      <c r="C6" s="3" t="s">
        <v>378</v>
      </c>
      <c r="D6" s="3" t="s">
        <v>379</v>
      </c>
      <c r="E6" s="3" t="s">
        <v>380</v>
      </c>
      <c r="F6" s="3" t="s">
        <v>381</v>
      </c>
      <c r="G6" s="3" t="s">
        <v>367</v>
      </c>
      <c r="H6" s="3"/>
      <c r="I6" s="3" t="s">
        <v>382</v>
      </c>
      <c r="J6" s="3"/>
      <c r="K6" s="3"/>
      <c r="L6" s="1"/>
      <c r="M6" s="1"/>
      <c r="N6" s="1"/>
    </row>
    <row r="7" spans="1:14" ht="28.5">
      <c r="A7" s="3" t="s">
        <v>383</v>
      </c>
      <c r="B7" s="3" t="s">
        <v>384</v>
      </c>
      <c r="C7" s="3" t="s">
        <v>385</v>
      </c>
      <c r="D7" s="3" t="s">
        <v>386</v>
      </c>
      <c r="E7" s="3" t="s">
        <v>387</v>
      </c>
      <c r="F7" s="3" t="s">
        <v>388</v>
      </c>
      <c r="G7" s="3" t="s">
        <v>367</v>
      </c>
      <c r="H7" s="3"/>
      <c r="I7" s="3" t="s">
        <v>389</v>
      </c>
      <c r="J7" s="3"/>
      <c r="K7" s="3"/>
      <c r="L7" s="1"/>
      <c r="M7" s="1"/>
      <c r="N7" s="1"/>
    </row>
    <row r="8" spans="1:14" ht="28.5">
      <c r="A8" s="3" t="s">
        <v>390</v>
      </c>
      <c r="B8" s="3" t="s">
        <v>391</v>
      </c>
      <c r="C8" s="3" t="s">
        <v>392</v>
      </c>
      <c r="D8" s="3" t="s">
        <v>393</v>
      </c>
      <c r="E8" s="3" t="s">
        <v>394</v>
      </c>
      <c r="F8" s="3" t="s">
        <v>395</v>
      </c>
      <c r="G8" s="3" t="s">
        <v>367</v>
      </c>
      <c r="H8" s="3"/>
      <c r="I8" s="3" t="s">
        <v>396</v>
      </c>
      <c r="J8" s="3"/>
      <c r="K8" s="3"/>
      <c r="L8" s="1"/>
      <c r="M8" s="1"/>
      <c r="N8" s="1"/>
    </row>
    <row r="9" spans="1:14" ht="28.5">
      <c r="A9" s="3" t="s">
        <v>397</v>
      </c>
      <c r="B9" s="3" t="s">
        <v>271</v>
      </c>
      <c r="C9" s="3" t="s">
        <v>398</v>
      </c>
      <c r="D9" s="3" t="s">
        <v>399</v>
      </c>
      <c r="E9" s="3" t="s">
        <v>400</v>
      </c>
      <c r="F9" s="3" t="s">
        <v>401</v>
      </c>
      <c r="G9" s="3" t="s">
        <v>402</v>
      </c>
      <c r="H9" s="3"/>
      <c r="I9" s="3" t="s">
        <v>382</v>
      </c>
      <c r="J9" s="3"/>
      <c r="K9" s="3"/>
      <c r="L9" s="1"/>
      <c r="M9" s="1"/>
      <c r="N9" s="1"/>
    </row>
    <row r="10" spans="1:14" ht="42.75">
      <c r="A10" s="3" t="s">
        <v>403</v>
      </c>
      <c r="B10" s="3" t="s">
        <v>404</v>
      </c>
      <c r="C10" s="3" t="s">
        <v>405</v>
      </c>
      <c r="D10" s="3" t="s">
        <v>406</v>
      </c>
      <c r="E10" s="3" t="s">
        <v>407</v>
      </c>
      <c r="F10" s="3" t="s">
        <v>408</v>
      </c>
      <c r="G10" s="3" t="s">
        <v>409</v>
      </c>
      <c r="H10" s="3"/>
      <c r="I10" s="3" t="s">
        <v>410</v>
      </c>
      <c r="J10" s="3"/>
      <c r="K10" s="3"/>
      <c r="L10" s="1"/>
      <c r="M10" s="1"/>
      <c r="N10" s="1"/>
    </row>
    <row r="11" spans="1:14">
      <c r="A11" s="1"/>
      <c r="B11" s="1"/>
      <c r="C11" s="1"/>
      <c r="D11" s="1"/>
      <c r="E11" s="1"/>
      <c r="F11" s="1"/>
      <c r="G11" s="1"/>
      <c r="H11" s="1"/>
      <c r="I11" s="1"/>
      <c r="J11" s="1"/>
      <c r="K11" s="1"/>
      <c r="L11" s="1"/>
      <c r="M11" s="1"/>
      <c r="N11" s="1"/>
    </row>
    <row r="12" spans="1:14">
      <c r="A12" s="1"/>
      <c r="B12" s="1"/>
      <c r="C12" s="1"/>
      <c r="D12" s="1"/>
      <c r="E12" s="1"/>
      <c r="F12" s="1"/>
      <c r="G12" s="1"/>
      <c r="H12" s="1"/>
      <c r="I12" s="1"/>
      <c r="J12" s="1"/>
      <c r="K12" s="1"/>
      <c r="L12" s="1"/>
      <c r="M12" s="1"/>
      <c r="N12" s="1"/>
    </row>
    <row r="13" spans="1:14">
      <c r="A13" s="1"/>
      <c r="B13" s="1"/>
      <c r="C13" s="1"/>
      <c r="D13" s="1"/>
      <c r="E13" s="1"/>
      <c r="F13" s="1"/>
      <c r="G13" s="1"/>
      <c r="H13" s="1"/>
      <c r="I13" s="1"/>
      <c r="J13" s="1"/>
      <c r="K13" s="1"/>
      <c r="L13" s="1"/>
      <c r="M13" s="1"/>
      <c r="N13" s="1"/>
    </row>
    <row r="14" spans="1:14">
      <c r="A14" s="1"/>
      <c r="B14" s="1"/>
      <c r="C14" s="1"/>
      <c r="D14" s="1"/>
      <c r="E14" s="1"/>
      <c r="F14" s="1"/>
      <c r="G14" s="1"/>
      <c r="H14" s="1"/>
      <c r="I14" s="1"/>
      <c r="J14" s="1"/>
      <c r="K14" s="1"/>
      <c r="L14" s="1"/>
      <c r="M14" s="1"/>
      <c r="N14" s="1"/>
    </row>
    <row r="15" spans="1:14">
      <c r="A15" s="1"/>
      <c r="B15" s="1"/>
      <c r="C15" s="1"/>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1">
    <mergeCell ref="A1:K1"/>
  </mergeCells>
  <conditionalFormatting sqref="G4:G10">
    <cfRule type="expression" dxfId="5" priority="1">
      <formula>G4="Fail"</formula>
    </cfRule>
    <cfRule type="expression" dxfId="4" priority="2">
      <formula>G4="Review"</formula>
    </cfRule>
    <cfRule type="expression" dxfId="3" priority="3">
      <formula>G4="Pass"</formula>
    </cfRule>
  </conditionalFormatting>
  <dataValidations count="1">
    <dataValidation type="list" sqref="G4:G10" xr:uid="{00000000-0002-0000-0900-000000000000}">
      <formula1>"Pass,Review,Fail,Not started"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00"/>
  <sheetViews>
    <sheetView workbookViewId="0">
      <selection activeCell="D4" sqref="D4"/>
    </sheetView>
  </sheetViews>
  <sheetFormatPr defaultRowHeight="14.25"/>
  <cols>
    <col min="1" max="1" width="6" customWidth="1"/>
    <col min="2" max="2" width="42" customWidth="1"/>
    <col min="3" max="3" width="34" customWidth="1"/>
    <col min="4" max="4" width="28" customWidth="1"/>
    <col min="5" max="5" width="40" customWidth="1"/>
    <col min="6" max="6" width="30" customWidth="1"/>
    <col min="7" max="7" width="14" customWidth="1"/>
    <col min="8" max="8" width="36" customWidth="1"/>
  </cols>
  <sheetData>
    <row r="1" spans="1:14" ht="27.95" customHeight="1">
      <c r="A1" s="39" t="s">
        <v>411</v>
      </c>
      <c r="B1" s="39"/>
      <c r="C1" s="39"/>
      <c r="D1" s="39"/>
      <c r="E1" s="39"/>
      <c r="F1" s="39"/>
      <c r="G1" s="39"/>
      <c r="H1" s="39"/>
      <c r="I1" s="1"/>
      <c r="J1" s="1"/>
      <c r="K1" s="1"/>
      <c r="L1" s="1"/>
      <c r="M1" s="1"/>
      <c r="N1" s="1"/>
    </row>
    <row r="2" spans="1:14">
      <c r="A2" s="1"/>
      <c r="B2" s="1"/>
      <c r="C2" s="1"/>
      <c r="D2" s="1"/>
      <c r="E2" s="1"/>
      <c r="F2" s="1"/>
      <c r="G2" s="1"/>
      <c r="H2" s="1"/>
      <c r="I2" s="1"/>
      <c r="J2" s="1"/>
      <c r="K2" s="1"/>
      <c r="L2" s="1"/>
      <c r="M2" s="1"/>
      <c r="N2" s="1"/>
    </row>
    <row r="3" spans="1:14" ht="15">
      <c r="A3" s="2" t="s">
        <v>412</v>
      </c>
      <c r="B3" s="2" t="s">
        <v>413</v>
      </c>
      <c r="C3" s="2" t="s">
        <v>414</v>
      </c>
      <c r="D3" s="2" t="s">
        <v>415</v>
      </c>
      <c r="E3" s="2" t="s">
        <v>416</v>
      </c>
      <c r="F3" s="2" t="s">
        <v>358</v>
      </c>
      <c r="G3" s="2" t="s">
        <v>417</v>
      </c>
      <c r="H3" s="2" t="s">
        <v>418</v>
      </c>
      <c r="I3" s="1"/>
      <c r="J3" s="1"/>
      <c r="K3" s="1"/>
      <c r="L3" s="1"/>
      <c r="M3" s="1"/>
      <c r="N3" s="1"/>
    </row>
    <row r="4" spans="1:14" ht="42.75">
      <c r="A4" s="3">
        <v>1</v>
      </c>
      <c r="B4" s="3" t="s">
        <v>419</v>
      </c>
      <c r="C4" s="3" t="s">
        <v>420</v>
      </c>
      <c r="D4" s="3" t="s">
        <v>421</v>
      </c>
      <c r="E4" s="28"/>
      <c r="F4" s="28"/>
      <c r="G4" s="28"/>
      <c r="H4" s="28"/>
      <c r="I4" s="1"/>
      <c r="J4" s="1"/>
      <c r="K4" s="1"/>
      <c r="L4" s="1"/>
      <c r="M4" s="1"/>
      <c r="N4" s="1"/>
    </row>
    <row r="5" spans="1:14" ht="28.5">
      <c r="A5" s="3">
        <v>2</v>
      </c>
      <c r="B5" s="3" t="s">
        <v>422</v>
      </c>
      <c r="C5" s="3" t="s">
        <v>423</v>
      </c>
      <c r="D5" s="3" t="s">
        <v>424</v>
      </c>
      <c r="E5" s="28"/>
      <c r="F5" s="28"/>
      <c r="G5" s="28"/>
      <c r="H5" s="28"/>
      <c r="I5" s="1"/>
      <c r="J5" s="1"/>
      <c r="K5" s="1"/>
      <c r="L5" s="1"/>
      <c r="M5" s="1"/>
      <c r="N5" s="1"/>
    </row>
    <row r="6" spans="1:14" ht="42.75">
      <c r="A6" s="3">
        <v>3</v>
      </c>
      <c r="B6" s="3" t="s">
        <v>425</v>
      </c>
      <c r="C6" s="3" t="s">
        <v>426</v>
      </c>
      <c r="D6" s="3" t="s">
        <v>424</v>
      </c>
      <c r="E6" s="28"/>
      <c r="F6" s="28"/>
      <c r="G6" s="28"/>
      <c r="H6" s="28"/>
      <c r="I6" s="1"/>
      <c r="J6" s="1"/>
      <c r="K6" s="1"/>
      <c r="L6" s="1"/>
      <c r="M6" s="1"/>
      <c r="N6" s="1"/>
    </row>
    <row r="7" spans="1:14" ht="42.75">
      <c r="A7" s="3">
        <v>4</v>
      </c>
      <c r="B7" s="3" t="s">
        <v>427</v>
      </c>
      <c r="C7" s="3" t="s">
        <v>428</v>
      </c>
      <c r="D7" s="3" t="s">
        <v>375</v>
      </c>
      <c r="E7" s="28"/>
      <c r="F7" s="28"/>
      <c r="G7" s="28"/>
      <c r="H7" s="28"/>
      <c r="I7" s="1"/>
      <c r="J7" s="1"/>
      <c r="K7" s="1"/>
      <c r="L7" s="1"/>
      <c r="M7" s="1"/>
      <c r="N7" s="1"/>
    </row>
    <row r="8" spans="1:14" ht="28.5">
      <c r="A8" s="3">
        <v>5</v>
      </c>
      <c r="B8" s="3" t="s">
        <v>429</v>
      </c>
      <c r="C8" s="3" t="s">
        <v>430</v>
      </c>
      <c r="D8" s="3" t="s">
        <v>382</v>
      </c>
      <c r="E8" s="28"/>
      <c r="F8" s="28"/>
      <c r="G8" s="28"/>
      <c r="H8" s="28"/>
      <c r="I8" s="1"/>
      <c r="J8" s="1"/>
      <c r="K8" s="1"/>
      <c r="L8" s="1"/>
      <c r="M8" s="1"/>
      <c r="N8" s="1"/>
    </row>
    <row r="9" spans="1:14" ht="42.75">
      <c r="A9" s="3">
        <v>6</v>
      </c>
      <c r="B9" s="3" t="s">
        <v>431</v>
      </c>
      <c r="C9" s="3" t="s">
        <v>432</v>
      </c>
      <c r="D9" s="3" t="s">
        <v>396</v>
      </c>
      <c r="E9" s="28"/>
      <c r="F9" s="28"/>
      <c r="G9" s="28"/>
      <c r="H9" s="28"/>
      <c r="I9" s="1"/>
      <c r="J9" s="1"/>
      <c r="K9" s="1"/>
      <c r="L9" s="1"/>
      <c r="M9" s="1"/>
      <c r="N9" s="1"/>
    </row>
    <row r="10" spans="1:14" ht="28.5">
      <c r="A10" s="3">
        <v>7</v>
      </c>
      <c r="B10" s="3" t="s">
        <v>433</v>
      </c>
      <c r="C10" s="3" t="s">
        <v>434</v>
      </c>
      <c r="D10" s="3" t="s">
        <v>396</v>
      </c>
      <c r="E10" s="28"/>
      <c r="F10" s="28"/>
      <c r="G10" s="28"/>
      <c r="H10" s="28"/>
      <c r="I10" s="1"/>
      <c r="J10" s="1"/>
      <c r="K10" s="1"/>
      <c r="L10" s="1"/>
      <c r="M10" s="1"/>
      <c r="N10" s="1"/>
    </row>
    <row r="11" spans="1:14" ht="42.75">
      <c r="A11" s="3">
        <v>8</v>
      </c>
      <c r="B11" s="3" t="s">
        <v>435</v>
      </c>
      <c r="C11" s="3" t="s">
        <v>436</v>
      </c>
      <c r="D11" s="3" t="s">
        <v>437</v>
      </c>
      <c r="E11" s="28"/>
      <c r="F11" s="28"/>
      <c r="G11" s="28"/>
      <c r="H11" s="28"/>
      <c r="I11" s="1"/>
      <c r="J11" s="1"/>
      <c r="K11" s="1"/>
      <c r="L11" s="1"/>
      <c r="M11" s="1"/>
      <c r="N11" s="1"/>
    </row>
    <row r="12" spans="1:14" ht="28.5">
      <c r="A12" s="3">
        <v>9</v>
      </c>
      <c r="B12" s="3" t="s">
        <v>438</v>
      </c>
      <c r="C12" s="3" t="s">
        <v>439</v>
      </c>
      <c r="D12" s="3" t="s">
        <v>440</v>
      </c>
      <c r="E12" s="28"/>
      <c r="F12" s="28"/>
      <c r="G12" s="28"/>
      <c r="H12" s="28"/>
      <c r="I12" s="1"/>
      <c r="J12" s="1"/>
      <c r="K12" s="1"/>
      <c r="L12" s="1"/>
      <c r="M12" s="1"/>
      <c r="N12" s="1"/>
    </row>
    <row r="13" spans="1:14" ht="28.5">
      <c r="A13" s="3">
        <v>10</v>
      </c>
      <c r="B13" s="3" t="s">
        <v>441</v>
      </c>
      <c r="C13" s="3" t="s">
        <v>442</v>
      </c>
      <c r="D13" s="3" t="s">
        <v>410</v>
      </c>
      <c r="E13" s="28"/>
      <c r="F13" s="28"/>
      <c r="G13" s="28"/>
      <c r="H13" s="28"/>
      <c r="I13" s="1"/>
      <c r="J13" s="1"/>
      <c r="K13" s="1"/>
      <c r="L13" s="1"/>
      <c r="M13" s="1"/>
      <c r="N13" s="1"/>
    </row>
    <row r="14" spans="1:14">
      <c r="A14" s="1"/>
      <c r="B14" s="1"/>
      <c r="C14" s="1"/>
      <c r="D14" s="1"/>
      <c r="E14" s="1"/>
      <c r="F14" s="1"/>
      <c r="G14" s="1"/>
      <c r="H14" s="1"/>
      <c r="I14" s="1"/>
      <c r="J14" s="1"/>
      <c r="K14" s="1"/>
      <c r="L14" s="1"/>
      <c r="M14" s="1"/>
      <c r="N14" s="1"/>
    </row>
    <row r="15" spans="1:14">
      <c r="A15" s="1"/>
      <c r="B15" s="1"/>
      <c r="C15" s="1"/>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1">
    <mergeCell ref="A1:H1"/>
  </mergeCells>
  <dataValidations count="1">
    <dataValidation type="list" sqref="G4:G13" xr:uid="{00000000-0002-0000-0A00-000000000000}">
      <formula1>"Low,Medium,High"</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00"/>
  <sheetViews>
    <sheetView workbookViewId="0">
      <selection activeCell="A7" sqref="A7:L7"/>
    </sheetView>
  </sheetViews>
  <sheetFormatPr defaultRowHeight="14.25"/>
  <cols>
    <col min="1" max="12" width="18" customWidth="1"/>
  </cols>
  <sheetData>
    <row r="1" spans="1:14" ht="27.95" customHeight="1">
      <c r="A1" s="39" t="s">
        <v>443</v>
      </c>
      <c r="B1" s="39"/>
      <c r="C1" s="39"/>
      <c r="D1" s="39"/>
      <c r="E1" s="39"/>
      <c r="F1" s="39"/>
      <c r="G1" s="39"/>
      <c r="H1" s="39"/>
      <c r="I1" s="39"/>
      <c r="J1" s="39"/>
      <c r="K1" s="39"/>
      <c r="L1" s="39"/>
      <c r="M1" s="1"/>
      <c r="N1" s="1"/>
    </row>
    <row r="2" spans="1:14">
      <c r="A2" s="1"/>
      <c r="B2" s="1"/>
      <c r="C2" s="1"/>
      <c r="D2" s="1"/>
      <c r="E2" s="1"/>
      <c r="F2" s="1"/>
      <c r="G2" s="1"/>
      <c r="H2" s="1"/>
      <c r="I2" s="1"/>
      <c r="J2" s="1"/>
      <c r="K2" s="1"/>
      <c r="L2" s="1"/>
      <c r="M2" s="1"/>
      <c r="N2" s="1"/>
    </row>
    <row r="3" spans="1:14" ht="15">
      <c r="A3" s="43" t="s">
        <v>444</v>
      </c>
      <c r="B3" s="43"/>
      <c r="C3" s="43"/>
      <c r="D3" s="1"/>
      <c r="E3" s="43" t="s">
        <v>445</v>
      </c>
      <c r="F3" s="43"/>
      <c r="G3" s="43"/>
      <c r="H3" s="1"/>
      <c r="I3" s="43" t="s">
        <v>446</v>
      </c>
      <c r="J3" s="43"/>
      <c r="K3" s="43"/>
      <c r="L3" s="1"/>
      <c r="M3" s="1"/>
      <c r="N3" s="1"/>
    </row>
    <row r="4" spans="1:14">
      <c r="A4" s="44">
        <f>'Financial Baseline'!E9</f>
        <v>4424900</v>
      </c>
      <c r="B4" s="44"/>
      <c r="C4" s="44"/>
      <c r="D4" s="1"/>
      <c r="E4" s="44">
        <f>'Financial Baseline'!E8</f>
        <v>1493429</v>
      </c>
      <c r="F4" s="44"/>
      <c r="G4" s="44"/>
      <c r="H4" s="1"/>
      <c r="I4" s="45" t="s">
        <v>447</v>
      </c>
      <c r="J4" s="45"/>
      <c r="K4" s="45"/>
      <c r="L4" s="1"/>
      <c r="M4" s="1"/>
      <c r="N4" s="1"/>
    </row>
    <row r="5" spans="1:14">
      <c r="A5" s="44"/>
      <c r="B5" s="44"/>
      <c r="C5" s="44"/>
      <c r="D5" s="1"/>
      <c r="E5" s="44"/>
      <c r="F5" s="44"/>
      <c r="G5" s="44"/>
      <c r="H5" s="1"/>
      <c r="I5" s="45"/>
      <c r="J5" s="45"/>
      <c r="K5" s="45"/>
      <c r="L5" s="1"/>
      <c r="M5" s="1"/>
      <c r="N5" s="1"/>
    </row>
    <row r="6" spans="1:14">
      <c r="A6" s="1"/>
      <c r="B6" s="1"/>
      <c r="C6" s="1"/>
      <c r="D6" s="1"/>
      <c r="E6" s="1"/>
      <c r="F6" s="1"/>
      <c r="G6" s="1"/>
      <c r="H6" s="1"/>
      <c r="I6" s="1"/>
      <c r="J6" s="1"/>
      <c r="K6" s="1"/>
      <c r="L6" s="1"/>
      <c r="M6" s="1"/>
      <c r="N6" s="1"/>
    </row>
    <row r="7" spans="1:14" ht="21.95" customHeight="1">
      <c r="A7" s="40" t="s">
        <v>448</v>
      </c>
      <c r="B7" s="40"/>
      <c r="C7" s="40"/>
      <c r="D7" s="40"/>
      <c r="E7" s="40"/>
      <c r="F7" s="40"/>
      <c r="G7" s="40"/>
      <c r="H7" s="40" t="s">
        <v>449</v>
      </c>
      <c r="I7" s="40"/>
      <c r="J7" s="40"/>
      <c r="K7" s="40"/>
      <c r="L7" s="40"/>
      <c r="M7" s="1"/>
      <c r="N7" s="1"/>
    </row>
    <row r="8" spans="1:14" ht="30">
      <c r="A8" s="2" t="s">
        <v>190</v>
      </c>
      <c r="B8" s="2" t="s">
        <v>450</v>
      </c>
      <c r="C8" s="2" t="s">
        <v>123</v>
      </c>
      <c r="D8" s="2" t="s">
        <v>191</v>
      </c>
      <c r="E8" s="2" t="s">
        <v>451</v>
      </c>
      <c r="F8" s="2" t="s">
        <v>452</v>
      </c>
      <c r="G8" s="1"/>
      <c r="H8" s="6" t="s">
        <v>18</v>
      </c>
      <c r="I8" s="6" t="s">
        <v>453</v>
      </c>
      <c r="J8" s="1"/>
      <c r="K8" s="1"/>
      <c r="L8" s="1"/>
      <c r="M8" s="1"/>
      <c r="N8" s="1"/>
    </row>
    <row r="9" spans="1:14" ht="28.5">
      <c r="A9" s="29" t="str">
        <f>'Risk Priority'!A4</f>
        <v>Oil &amp; Gas</v>
      </c>
      <c r="B9" s="30">
        <f>'Risk Priority'!M4</f>
        <v>0.62142555555555556</v>
      </c>
      <c r="C9" s="29" t="str">
        <f>'Risk Priority'!N4</f>
        <v>Priority 2 - monitor</v>
      </c>
      <c r="D9" s="11">
        <f>'Risk Priority'!B4</f>
        <v>31724</v>
      </c>
      <c r="E9" s="12">
        <f>'Risk Priority'!F4</f>
        <v>-0.17199999999999999</v>
      </c>
      <c r="F9" s="31">
        <f>'Risk Priority'!H4</f>
        <v>242.5</v>
      </c>
      <c r="G9" s="1"/>
      <c r="H9" s="6" t="s">
        <v>21</v>
      </c>
      <c r="I9" s="6" t="s">
        <v>454</v>
      </c>
      <c r="J9" s="1"/>
      <c r="K9" s="1"/>
      <c r="L9" s="1"/>
      <c r="M9" s="1"/>
      <c r="N9" s="1"/>
    </row>
    <row r="10" spans="1:14" ht="42.75">
      <c r="A10" s="29" t="str">
        <f>'Risk Priority'!A5</f>
        <v>Electric Power</v>
      </c>
      <c r="B10" s="30">
        <f>'Risk Priority'!M5</f>
        <v>0.53868152173913042</v>
      </c>
      <c r="C10" s="29" t="str">
        <f>'Risk Priority'!N5</f>
        <v>Priority 3 - watch</v>
      </c>
      <c r="D10" s="11">
        <f>'Risk Priority'!B5</f>
        <v>12909</v>
      </c>
      <c r="E10" s="12">
        <f>'Risk Priority'!F5</f>
        <v>-0.27500000000000002</v>
      </c>
      <c r="F10" s="31">
        <f>'Risk Priority'!H5</f>
        <v>621.79999999999995</v>
      </c>
      <c r="G10" s="1"/>
      <c r="H10" s="6" t="s">
        <v>24</v>
      </c>
      <c r="I10" s="6" t="s">
        <v>455</v>
      </c>
      <c r="J10" s="1"/>
      <c r="K10" s="1"/>
      <c r="L10" s="1"/>
      <c r="M10" s="1"/>
      <c r="N10" s="1"/>
    </row>
    <row r="11" spans="1:14" ht="57">
      <c r="A11" s="29" t="str">
        <f>'Risk Priority'!A6</f>
        <v>Auto Manufacturing</v>
      </c>
      <c r="B11" s="30">
        <f>'Risk Priority'!M6</f>
        <v>0.56504166666666666</v>
      </c>
      <c r="C11" s="29" t="str">
        <f>'Risk Priority'!N6</f>
        <v>Priority 2 - monitor</v>
      </c>
      <c r="D11" s="11">
        <f>'Risk Priority'!B6</f>
        <v>16865</v>
      </c>
      <c r="E11" s="12">
        <f>'Risk Priority'!F6</f>
        <v>-0.20300000000000001</v>
      </c>
      <c r="F11" s="31">
        <f>'Risk Priority'!H6</f>
        <v>853</v>
      </c>
      <c r="G11" s="1"/>
      <c r="H11" s="6" t="s">
        <v>27</v>
      </c>
      <c r="I11" s="6" t="s">
        <v>456</v>
      </c>
      <c r="J11" s="1"/>
      <c r="K11" s="1"/>
      <c r="L11" s="1"/>
      <c r="M11" s="1"/>
      <c r="N11" s="1"/>
    </row>
    <row r="12" spans="1:14" ht="71.25">
      <c r="A12" s="29" t="str">
        <f>'Risk Priority'!A7</f>
        <v>Iron &amp; Steel</v>
      </c>
      <c r="B12" s="30">
        <f>'Risk Priority'!M7</f>
        <v>0.62186166666666676</v>
      </c>
      <c r="C12" s="29" t="str">
        <f>'Risk Priority'!N7</f>
        <v>Priority 2 - monitor</v>
      </c>
      <c r="D12" s="11">
        <f>'Risk Priority'!B7</f>
        <v>3947</v>
      </c>
      <c r="E12" s="12">
        <f>'Risk Priority'!F7</f>
        <v>-8.5999999999999993E-2</v>
      </c>
      <c r="F12" s="31">
        <f>'Risk Priority'!H7</f>
        <v>1444.6</v>
      </c>
      <c r="G12" s="1"/>
      <c r="H12" s="6" t="s">
        <v>30</v>
      </c>
      <c r="I12" s="6" t="s">
        <v>457</v>
      </c>
      <c r="J12" s="1"/>
      <c r="K12" s="1"/>
      <c r="L12" s="1"/>
      <c r="M12" s="1"/>
      <c r="N12" s="1"/>
    </row>
    <row r="13" spans="1:14">
      <c r="A13" s="29" t="str">
        <f>'Risk Priority'!A8</f>
        <v>Aluminum</v>
      </c>
      <c r="B13" s="30">
        <f>'Risk Priority'!M8</f>
        <v>0.73901666666666666</v>
      </c>
      <c r="C13" s="29" t="str">
        <f>'Risk Priority'!N8</f>
        <v>Priority 2 - monitor</v>
      </c>
      <c r="D13" s="11">
        <f>'Risk Priority'!B8</f>
        <v>1066</v>
      </c>
      <c r="E13" s="12">
        <f>'Risk Priority'!F8</f>
        <v>0.104</v>
      </c>
      <c r="F13" s="31">
        <f>'Risk Priority'!H8</f>
        <v>970.2</v>
      </c>
      <c r="G13" s="1"/>
      <c r="H13" s="1"/>
      <c r="I13" s="1"/>
      <c r="J13" s="1"/>
      <c r="K13" s="1"/>
      <c r="L13" s="1"/>
      <c r="M13" s="1"/>
      <c r="N13" s="1"/>
    </row>
    <row r="14" spans="1:14">
      <c r="A14" s="1"/>
      <c r="B14" s="1"/>
      <c r="C14" s="1"/>
      <c r="D14" s="1"/>
      <c r="E14" s="1"/>
      <c r="F14" s="1"/>
      <c r="G14" s="1"/>
      <c r="H14" s="1"/>
      <c r="I14" s="1"/>
      <c r="J14" s="1"/>
      <c r="K14" s="1"/>
      <c r="L14" s="1"/>
      <c r="M14" s="1"/>
      <c r="N14" s="1"/>
    </row>
    <row r="15" spans="1:14" ht="30">
      <c r="A15" s="1"/>
      <c r="B15" s="1"/>
      <c r="C15" s="1"/>
      <c r="D15" s="1"/>
      <c r="E15" s="1"/>
      <c r="F15" s="1"/>
      <c r="G15" s="1"/>
      <c r="H15" s="2" t="s">
        <v>190</v>
      </c>
      <c r="I15" s="2" t="s">
        <v>341</v>
      </c>
      <c r="J15" s="2" t="s">
        <v>458</v>
      </c>
      <c r="K15" s="1"/>
      <c r="L15" s="1"/>
      <c r="M15" s="1"/>
      <c r="N15" s="1"/>
    </row>
    <row r="16" spans="1:14">
      <c r="A16" s="1"/>
      <c r="B16" s="1"/>
      <c r="C16" s="1"/>
      <c r="D16" s="1"/>
      <c r="E16" s="1"/>
      <c r="F16" s="1"/>
      <c r="G16" s="1"/>
      <c r="H16" s="1" t="s">
        <v>209</v>
      </c>
      <c r="I16" s="12">
        <f>'Carbon Intensity Targets'!J5</f>
        <v>0.38222222222222219</v>
      </c>
      <c r="J16" s="12">
        <f>'Carbon Intensity Targets'!H5</f>
        <v>-0.17199999999999999</v>
      </c>
      <c r="K16" s="1"/>
      <c r="L16" s="1"/>
      <c r="M16" s="1"/>
      <c r="N16" s="1"/>
    </row>
    <row r="17" spans="1:14">
      <c r="A17" s="1"/>
      <c r="B17" s="1"/>
      <c r="C17" s="1"/>
      <c r="D17" s="1"/>
      <c r="E17" s="1"/>
      <c r="F17" s="1"/>
      <c r="G17" s="1"/>
      <c r="H17" s="1" t="s">
        <v>240</v>
      </c>
      <c r="I17" s="12">
        <f>'Carbon Intensity Targets'!J6</f>
        <v>0.39855072463768121</v>
      </c>
      <c r="J17" s="12">
        <f>'Carbon Intensity Targets'!H6</f>
        <v>-0.27500000000000002</v>
      </c>
      <c r="K17" s="1"/>
      <c r="L17" s="1"/>
      <c r="M17" s="1"/>
      <c r="N17" s="1"/>
    </row>
    <row r="18" spans="1:14">
      <c r="A18" s="1"/>
      <c r="B18" s="1"/>
      <c r="C18" s="1"/>
      <c r="D18" s="1"/>
      <c r="E18" s="1"/>
      <c r="F18" s="1"/>
      <c r="G18" s="1"/>
      <c r="H18" s="1" t="s">
        <v>210</v>
      </c>
      <c r="I18" s="12">
        <f>'Carbon Intensity Targets'!J7</f>
        <v>0.42291666666666672</v>
      </c>
      <c r="J18" s="12">
        <f>'Carbon Intensity Targets'!H7</f>
        <v>-0.20300000000000001</v>
      </c>
      <c r="K18" s="1"/>
      <c r="L18" s="1"/>
      <c r="M18" s="1"/>
      <c r="N18" s="1"/>
    </row>
    <row r="19" spans="1:14">
      <c r="A19" s="1"/>
      <c r="B19" s="1"/>
      <c r="C19" s="1"/>
      <c r="D19" s="1"/>
      <c r="E19" s="1"/>
      <c r="F19" s="1"/>
      <c r="G19" s="1"/>
      <c r="H19" s="1" t="s">
        <v>250</v>
      </c>
      <c r="I19" s="12">
        <f>'Carbon Intensity Targets'!J10</f>
        <v>0.28666666666666668</v>
      </c>
      <c r="J19" s="12">
        <f>'Carbon Intensity Targets'!H10</f>
        <v>-8.5999999999999993E-2</v>
      </c>
      <c r="K19" s="1"/>
      <c r="L19" s="1"/>
      <c r="M19" s="1"/>
      <c r="N19" s="1"/>
    </row>
    <row r="20" spans="1:14">
      <c r="A20" s="1"/>
      <c r="B20" s="1"/>
      <c r="C20" s="1"/>
      <c r="D20" s="1"/>
      <c r="E20" s="1"/>
      <c r="F20" s="1"/>
      <c r="G20" s="1"/>
      <c r="H20" s="1" t="s">
        <v>216</v>
      </c>
      <c r="I20" s="12">
        <f>'Carbon Intensity Targets'!J12</f>
        <v>-0.43333333333333335</v>
      </c>
      <c r="J20" s="12">
        <f>'Carbon Intensity Targets'!H12</f>
        <v>0.104</v>
      </c>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sheetData>
  <mergeCells count="8">
    <mergeCell ref="A7:L7"/>
    <mergeCell ref="A1:L1"/>
    <mergeCell ref="A3:C3"/>
    <mergeCell ref="A4:C5"/>
    <mergeCell ref="E3:G3"/>
    <mergeCell ref="E4:G5"/>
    <mergeCell ref="I3:K3"/>
    <mergeCell ref="I4:K5"/>
  </mergeCells>
  <conditionalFormatting sqref="B9:B13">
    <cfRule type="colorScale" priority="1">
      <colorScale>
        <cfvo type="min"/>
        <cfvo type="percentile" val="50"/>
        <cfvo type="max"/>
        <color rgb="FFD9EAD3"/>
        <color rgb="FFFFF2CC"/>
        <color rgb="FFF4CCCC"/>
      </colorScale>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40"/>
  <sheetViews>
    <sheetView topLeftCell="A5" workbookViewId="0">
      <selection activeCell="A11" sqref="A11"/>
    </sheetView>
  </sheetViews>
  <sheetFormatPr defaultRowHeight="14.25"/>
  <cols>
    <col min="1" max="1" width="22" customWidth="1"/>
    <col min="2" max="2" width="28" customWidth="1"/>
    <col min="3" max="4" width="36" customWidth="1"/>
    <col min="5" max="6" width="18" customWidth="1"/>
    <col min="7" max="7" width="42" customWidth="1"/>
    <col min="8" max="8" width="34" customWidth="1"/>
  </cols>
  <sheetData>
    <row r="1" spans="1:22" ht="27.95" customHeight="1">
      <c r="A1" s="46" t="s">
        <v>459</v>
      </c>
      <c r="B1" s="46"/>
      <c r="C1" s="46"/>
      <c r="D1" s="46"/>
      <c r="E1" s="46"/>
      <c r="F1" s="46"/>
      <c r="G1" s="46"/>
      <c r="H1" s="46"/>
      <c r="I1" s="1"/>
      <c r="J1" s="1"/>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ht="30">
      <c r="A3" s="32" t="s">
        <v>460</v>
      </c>
      <c r="B3" s="32" t="s">
        <v>461</v>
      </c>
      <c r="C3" s="32" t="s">
        <v>462</v>
      </c>
      <c r="D3" s="32" t="s">
        <v>463</v>
      </c>
      <c r="E3" s="32" t="s">
        <v>464</v>
      </c>
      <c r="F3" s="32" t="s">
        <v>465</v>
      </c>
      <c r="G3" s="32" t="s">
        <v>466</v>
      </c>
      <c r="H3" s="32" t="s">
        <v>467</v>
      </c>
      <c r="I3" s="1"/>
      <c r="J3" s="1"/>
      <c r="K3" s="1"/>
      <c r="L3" s="1"/>
      <c r="M3" s="1"/>
      <c r="N3" s="1"/>
      <c r="O3" s="1"/>
      <c r="P3" s="1"/>
      <c r="Q3" s="1"/>
      <c r="R3" s="1"/>
      <c r="S3" s="1"/>
      <c r="T3" s="1"/>
      <c r="U3" s="1"/>
      <c r="V3" s="1"/>
    </row>
    <row r="4" spans="1:22" ht="62.1" customHeight="1">
      <c r="A4" s="3" t="s">
        <v>468</v>
      </c>
      <c r="B4" s="3" t="s">
        <v>469</v>
      </c>
      <c r="C4" s="3" t="s">
        <v>470</v>
      </c>
      <c r="D4" s="3" t="s">
        <v>471</v>
      </c>
      <c r="E4" s="3" t="s">
        <v>472</v>
      </c>
      <c r="F4" s="3" t="s">
        <v>63</v>
      </c>
      <c r="G4" s="3" t="s">
        <v>473</v>
      </c>
      <c r="H4" s="3" t="s">
        <v>474</v>
      </c>
      <c r="I4" s="1"/>
      <c r="J4" s="1"/>
      <c r="K4" s="1"/>
      <c r="L4" s="1"/>
      <c r="M4" s="1"/>
      <c r="N4" s="1"/>
      <c r="O4" s="1"/>
      <c r="P4" s="1"/>
      <c r="Q4" s="1"/>
      <c r="R4" s="1"/>
      <c r="S4" s="1"/>
      <c r="T4" s="1"/>
      <c r="U4" s="1"/>
      <c r="V4" s="1"/>
    </row>
    <row r="5" spans="1:22" ht="62.1" customHeight="1">
      <c r="A5" s="3" t="s">
        <v>475</v>
      </c>
      <c r="B5" s="3" t="s">
        <v>476</v>
      </c>
      <c r="C5" s="3" t="s">
        <v>477</v>
      </c>
      <c r="D5" s="3" t="s">
        <v>478</v>
      </c>
      <c r="E5" s="3" t="s">
        <v>479</v>
      </c>
      <c r="F5" s="3" t="s">
        <v>63</v>
      </c>
      <c r="G5" s="3" t="s">
        <v>480</v>
      </c>
      <c r="H5" s="3" t="s">
        <v>481</v>
      </c>
      <c r="I5" s="1"/>
      <c r="J5" s="1"/>
      <c r="K5" s="1"/>
      <c r="L5" s="1"/>
      <c r="M5" s="1"/>
      <c r="N5" s="1"/>
      <c r="O5" s="1"/>
      <c r="P5" s="1"/>
      <c r="Q5" s="1"/>
      <c r="R5" s="1"/>
      <c r="S5" s="1"/>
      <c r="T5" s="1"/>
      <c r="U5" s="1"/>
      <c r="V5" s="1"/>
    </row>
    <row r="6" spans="1:22" ht="62.1" customHeight="1">
      <c r="A6" s="3" t="s">
        <v>482</v>
      </c>
      <c r="B6" s="3" t="s">
        <v>483</v>
      </c>
      <c r="C6" s="3" t="s">
        <v>484</v>
      </c>
      <c r="D6" s="3" t="s">
        <v>485</v>
      </c>
      <c r="E6" s="3" t="s">
        <v>479</v>
      </c>
      <c r="F6" s="3" t="s">
        <v>63</v>
      </c>
      <c r="G6" s="3" t="s">
        <v>486</v>
      </c>
      <c r="H6" s="3" t="s">
        <v>487</v>
      </c>
      <c r="I6" s="1"/>
      <c r="J6" s="1"/>
      <c r="K6" s="1"/>
      <c r="L6" s="1"/>
      <c r="M6" s="1"/>
      <c r="N6" s="1"/>
      <c r="O6" s="1"/>
      <c r="P6" s="1"/>
      <c r="Q6" s="1"/>
      <c r="R6" s="1"/>
      <c r="S6" s="1"/>
      <c r="T6" s="1"/>
      <c r="U6" s="1"/>
      <c r="V6" s="1"/>
    </row>
    <row r="7" spans="1:22" ht="62.1" customHeight="1">
      <c r="A7" s="3" t="s">
        <v>488</v>
      </c>
      <c r="B7" s="3" t="s">
        <v>489</v>
      </c>
      <c r="C7" s="3" t="s">
        <v>490</v>
      </c>
      <c r="D7" s="3" t="s">
        <v>491</v>
      </c>
      <c r="E7" s="3" t="s">
        <v>479</v>
      </c>
      <c r="F7" s="3" t="s">
        <v>63</v>
      </c>
      <c r="G7" s="3" t="s">
        <v>492</v>
      </c>
      <c r="H7" s="3" t="s">
        <v>493</v>
      </c>
      <c r="I7" s="1"/>
      <c r="J7" s="1"/>
      <c r="K7" s="1"/>
      <c r="L7" s="1"/>
      <c r="M7" s="1"/>
      <c r="N7" s="1"/>
      <c r="O7" s="1"/>
      <c r="P7" s="1"/>
      <c r="Q7" s="1"/>
      <c r="R7" s="1"/>
      <c r="S7" s="1"/>
      <c r="T7" s="1"/>
      <c r="U7" s="1"/>
      <c r="V7" s="1"/>
    </row>
    <row r="8" spans="1:22" ht="62.1" customHeight="1">
      <c r="A8" s="3" t="s">
        <v>494</v>
      </c>
      <c r="B8" s="3" t="s">
        <v>495</v>
      </c>
      <c r="C8" s="3" t="s">
        <v>496</v>
      </c>
      <c r="D8" s="3" t="s">
        <v>497</v>
      </c>
      <c r="E8" s="3" t="s">
        <v>498</v>
      </c>
      <c r="F8" s="3" t="s">
        <v>63</v>
      </c>
      <c r="G8" s="3" t="s">
        <v>499</v>
      </c>
      <c r="H8" s="3" t="s">
        <v>500</v>
      </c>
      <c r="I8" s="1"/>
      <c r="J8" s="1"/>
      <c r="K8" s="1"/>
      <c r="L8" s="1"/>
      <c r="M8" s="1"/>
      <c r="N8" s="1"/>
      <c r="O8" s="1"/>
      <c r="P8" s="1"/>
      <c r="Q8" s="1"/>
      <c r="R8" s="1"/>
      <c r="S8" s="1"/>
      <c r="T8" s="1"/>
      <c r="U8" s="1"/>
      <c r="V8" s="1"/>
    </row>
    <row r="9" spans="1:22" ht="62.1" customHeight="1">
      <c r="A9" s="3" t="s">
        <v>501</v>
      </c>
      <c r="B9" s="3" t="s">
        <v>502</v>
      </c>
      <c r="C9" s="3" t="s">
        <v>503</v>
      </c>
      <c r="D9" s="3" t="s">
        <v>504</v>
      </c>
      <c r="E9" s="3" t="s">
        <v>498</v>
      </c>
      <c r="F9" s="3" t="s">
        <v>63</v>
      </c>
      <c r="G9" s="3" t="s">
        <v>505</v>
      </c>
      <c r="H9" s="3" t="s">
        <v>506</v>
      </c>
      <c r="I9" s="1"/>
      <c r="J9" s="1"/>
      <c r="K9" s="1"/>
      <c r="L9" s="1"/>
      <c r="M9" s="1"/>
      <c r="N9" s="1"/>
      <c r="O9" s="1"/>
      <c r="P9" s="1"/>
      <c r="Q9" s="1"/>
      <c r="R9" s="1"/>
      <c r="S9" s="1"/>
      <c r="T9" s="1"/>
      <c r="U9" s="1"/>
      <c r="V9" s="1"/>
    </row>
    <row r="10" spans="1:22" ht="62.1" customHeight="1">
      <c r="A10" s="3" t="s">
        <v>507</v>
      </c>
      <c r="B10" s="3" t="s">
        <v>508</v>
      </c>
      <c r="C10" s="3" t="s">
        <v>509</v>
      </c>
      <c r="D10" s="3" t="s">
        <v>510</v>
      </c>
      <c r="E10" s="3" t="s">
        <v>479</v>
      </c>
      <c r="F10" s="3" t="s">
        <v>63</v>
      </c>
      <c r="G10" s="3" t="s">
        <v>511</v>
      </c>
      <c r="H10" s="3" t="s">
        <v>506</v>
      </c>
      <c r="I10" s="1"/>
      <c r="J10" s="1"/>
      <c r="K10" s="1"/>
      <c r="L10" s="1"/>
      <c r="M10" s="1"/>
      <c r="N10" s="1"/>
      <c r="O10" s="1"/>
      <c r="P10" s="1"/>
      <c r="Q10" s="1"/>
      <c r="R10" s="1"/>
      <c r="S10" s="1"/>
      <c r="T10" s="1"/>
      <c r="U10" s="1"/>
      <c r="V10" s="1"/>
    </row>
    <row r="11" spans="1:22" ht="62.1" customHeight="1">
      <c r="A11" s="3" t="s">
        <v>512</v>
      </c>
      <c r="B11" s="3" t="s">
        <v>513</v>
      </c>
      <c r="C11" s="3" t="s">
        <v>514</v>
      </c>
      <c r="D11" s="3" t="s">
        <v>515</v>
      </c>
      <c r="E11" s="3" t="s">
        <v>498</v>
      </c>
      <c r="F11" s="3" t="s">
        <v>63</v>
      </c>
      <c r="G11" s="3" t="s">
        <v>516</v>
      </c>
      <c r="H11" s="3" t="s">
        <v>506</v>
      </c>
      <c r="I11" s="1"/>
      <c r="J11" s="1"/>
      <c r="K11" s="1"/>
      <c r="L11" s="1"/>
      <c r="M11" s="1"/>
      <c r="N11" s="1"/>
      <c r="O11" s="1"/>
      <c r="P11" s="1"/>
      <c r="Q11" s="1"/>
      <c r="R11" s="1"/>
      <c r="S11" s="1"/>
      <c r="T11" s="1"/>
      <c r="U11" s="1"/>
      <c r="V11" s="1"/>
    </row>
    <row r="12" spans="1:22">
      <c r="A12" s="1"/>
      <c r="B12" s="1"/>
      <c r="C12" s="1"/>
      <c r="D12" s="1"/>
      <c r="E12" s="1"/>
      <c r="F12" s="1"/>
      <c r="G12" s="1"/>
      <c r="H12" s="1"/>
      <c r="I12" s="1"/>
      <c r="J12" s="1"/>
      <c r="K12" s="1"/>
      <c r="L12" s="1"/>
      <c r="M12" s="1"/>
      <c r="N12" s="1"/>
      <c r="O12" s="1"/>
      <c r="P12" s="1"/>
      <c r="Q12" s="1"/>
      <c r="R12" s="1"/>
      <c r="S12" s="1"/>
      <c r="T12" s="1"/>
      <c r="U12" s="1"/>
      <c r="V12" s="1"/>
    </row>
    <row r="13" spans="1:22" ht="21.95" customHeight="1">
      <c r="A13" s="47" t="s">
        <v>517</v>
      </c>
      <c r="B13" s="47"/>
      <c r="C13" s="47"/>
      <c r="D13" s="47"/>
      <c r="E13" s="47"/>
      <c r="F13" s="47"/>
      <c r="G13" s="47"/>
      <c r="H13" s="47"/>
      <c r="I13" s="1"/>
      <c r="J13" s="1"/>
      <c r="K13" s="1"/>
      <c r="L13" s="1"/>
      <c r="M13" s="1"/>
      <c r="N13" s="1"/>
      <c r="O13" s="1"/>
      <c r="P13" s="1"/>
      <c r="Q13" s="1"/>
      <c r="R13" s="1"/>
      <c r="S13" s="1"/>
      <c r="T13" s="1"/>
      <c r="U13" s="1"/>
      <c r="V13" s="1"/>
    </row>
    <row r="14" spans="1:22">
      <c r="A14" s="48" t="s">
        <v>518</v>
      </c>
      <c r="B14" s="48"/>
      <c r="C14" s="48"/>
      <c r="D14" s="48"/>
      <c r="E14" s="48"/>
      <c r="F14" s="48"/>
      <c r="G14" s="48"/>
      <c r="H14" s="48"/>
      <c r="I14" s="1"/>
      <c r="J14" s="1"/>
      <c r="K14" s="1"/>
      <c r="L14" s="1"/>
      <c r="M14" s="1"/>
      <c r="N14" s="1"/>
      <c r="O14" s="1"/>
      <c r="P14" s="1"/>
      <c r="Q14" s="1"/>
      <c r="R14" s="1"/>
      <c r="S14" s="1"/>
      <c r="T14" s="1"/>
      <c r="U14" s="1"/>
      <c r="V14" s="1"/>
    </row>
    <row r="15" spans="1:22">
      <c r="A15" s="48"/>
      <c r="B15" s="48"/>
      <c r="C15" s="48"/>
      <c r="D15" s="48"/>
      <c r="E15" s="48"/>
      <c r="F15" s="48"/>
      <c r="G15" s="48"/>
      <c r="H15" s="48"/>
      <c r="I15" s="1"/>
      <c r="J15" s="1"/>
      <c r="K15" s="1"/>
      <c r="L15" s="1"/>
      <c r="M15" s="1"/>
      <c r="N15" s="1"/>
      <c r="O15" s="1"/>
      <c r="P15" s="1"/>
      <c r="Q15" s="1"/>
      <c r="R15" s="1"/>
      <c r="S15" s="1"/>
      <c r="T15" s="1"/>
      <c r="U15" s="1"/>
      <c r="V15" s="1"/>
    </row>
    <row r="16" spans="1:22">
      <c r="A16" s="48"/>
      <c r="B16" s="48"/>
      <c r="C16" s="48"/>
      <c r="D16" s="48"/>
      <c r="E16" s="48"/>
      <c r="F16" s="48"/>
      <c r="G16" s="48"/>
      <c r="H16" s="48"/>
      <c r="I16" s="1"/>
      <c r="J16" s="1"/>
      <c r="K16" s="1"/>
      <c r="L16" s="1"/>
      <c r="M16" s="1"/>
      <c r="N16" s="1"/>
      <c r="O16" s="1"/>
      <c r="P16" s="1"/>
      <c r="Q16" s="1"/>
      <c r="R16" s="1"/>
      <c r="S16" s="1"/>
      <c r="T16" s="1"/>
      <c r="U16" s="1"/>
      <c r="V16" s="1"/>
    </row>
    <row r="17" spans="1:22">
      <c r="A17" s="48"/>
      <c r="B17" s="48"/>
      <c r="C17" s="48"/>
      <c r="D17" s="48"/>
      <c r="E17" s="48"/>
      <c r="F17" s="48"/>
      <c r="G17" s="48"/>
      <c r="H17" s="48"/>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sheetData>
  <mergeCells count="3">
    <mergeCell ref="A1:H1"/>
    <mergeCell ref="A13:H13"/>
    <mergeCell ref="A14:H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40"/>
  <sheetViews>
    <sheetView topLeftCell="A3" workbookViewId="0">
      <selection activeCell="N21" sqref="A1:N21"/>
    </sheetView>
  </sheetViews>
  <sheetFormatPr defaultRowHeight="14.25"/>
  <cols>
    <col min="1" max="1" width="26" customWidth="1"/>
    <col min="2" max="3" width="18" customWidth="1"/>
    <col min="4" max="4" width="22" customWidth="1"/>
    <col min="5" max="5" width="20" customWidth="1"/>
    <col min="6" max="6" width="22" customWidth="1"/>
    <col min="7" max="8" width="28" customWidth="1"/>
    <col min="9" max="9" width="36" customWidth="1"/>
    <col min="10" max="10" width="14" customWidth="1"/>
    <col min="11" max="13" width="18" customWidth="1"/>
    <col min="14" max="14" width="26" customWidth="1"/>
  </cols>
  <sheetData>
    <row r="1" spans="1:22" ht="27.95" customHeight="1">
      <c r="A1" s="46" t="s">
        <v>519</v>
      </c>
      <c r="B1" s="46"/>
      <c r="C1" s="46"/>
      <c r="D1" s="46"/>
      <c r="E1" s="46"/>
      <c r="F1" s="46"/>
      <c r="G1" s="46"/>
      <c r="H1" s="46"/>
      <c r="I1" s="46"/>
      <c r="J1" s="46"/>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c r="A3" s="49" t="s">
        <v>520</v>
      </c>
      <c r="B3" s="49"/>
      <c r="C3" s="49"/>
      <c r="D3" s="49"/>
      <c r="E3" s="49"/>
      <c r="F3" s="49"/>
      <c r="G3" s="49"/>
      <c r="H3" s="49"/>
      <c r="I3" s="49"/>
      <c r="J3" s="49"/>
      <c r="K3" s="1"/>
      <c r="L3" s="1"/>
      <c r="M3" s="1"/>
      <c r="N3" s="1"/>
      <c r="O3" s="1"/>
      <c r="P3" s="1"/>
      <c r="Q3" s="1"/>
      <c r="R3" s="1"/>
      <c r="S3" s="1"/>
      <c r="T3" s="1"/>
      <c r="U3" s="1"/>
      <c r="V3" s="1"/>
    </row>
    <row r="4" spans="1:22">
      <c r="A4" s="49"/>
      <c r="B4" s="49"/>
      <c r="C4" s="49"/>
      <c r="D4" s="49"/>
      <c r="E4" s="49"/>
      <c r="F4" s="49"/>
      <c r="G4" s="49"/>
      <c r="H4" s="49"/>
      <c r="I4" s="49"/>
      <c r="J4" s="49"/>
      <c r="K4" s="1"/>
      <c r="L4" s="1"/>
      <c r="M4" s="1"/>
      <c r="N4" s="1"/>
      <c r="O4" s="1"/>
      <c r="P4" s="1"/>
      <c r="Q4" s="1"/>
      <c r="R4" s="1"/>
      <c r="S4" s="1"/>
      <c r="T4" s="1"/>
      <c r="U4" s="1"/>
      <c r="V4" s="1"/>
    </row>
    <row r="5" spans="1:22">
      <c r="A5" s="49"/>
      <c r="B5" s="49"/>
      <c r="C5" s="49"/>
      <c r="D5" s="49"/>
      <c r="E5" s="49"/>
      <c r="F5" s="49"/>
      <c r="G5" s="49"/>
      <c r="H5" s="49"/>
      <c r="I5" s="49"/>
      <c r="J5" s="49"/>
      <c r="K5" s="1"/>
      <c r="L5" s="1"/>
      <c r="M5" s="1"/>
      <c r="N5" s="1"/>
      <c r="O5" s="1"/>
      <c r="P5" s="1"/>
      <c r="Q5" s="1"/>
      <c r="R5" s="1"/>
      <c r="S5" s="1"/>
      <c r="T5" s="1"/>
      <c r="U5" s="1"/>
      <c r="V5" s="1"/>
    </row>
    <row r="6" spans="1:22">
      <c r="A6" s="1"/>
      <c r="B6" s="1"/>
      <c r="C6" s="1"/>
      <c r="D6" s="1"/>
      <c r="E6" s="1"/>
      <c r="F6" s="1"/>
      <c r="G6" s="1"/>
      <c r="H6" s="1"/>
      <c r="I6" s="1"/>
      <c r="J6" s="1"/>
      <c r="K6" s="1"/>
      <c r="L6" s="1"/>
      <c r="M6" s="1"/>
      <c r="N6" s="1"/>
      <c r="O6" s="1"/>
      <c r="P6" s="1"/>
      <c r="Q6" s="1"/>
      <c r="R6" s="1"/>
      <c r="S6" s="1"/>
      <c r="T6" s="1"/>
      <c r="U6" s="1"/>
      <c r="V6" s="1"/>
    </row>
    <row r="7" spans="1:22" ht="30">
      <c r="A7" s="32" t="s">
        <v>521</v>
      </c>
      <c r="B7" s="32" t="s">
        <v>522</v>
      </c>
      <c r="C7" s="32" t="s">
        <v>523</v>
      </c>
      <c r="D7" s="32" t="s">
        <v>524</v>
      </c>
      <c r="E7" s="32" t="s">
        <v>525</v>
      </c>
      <c r="F7" s="32" t="s">
        <v>526</v>
      </c>
      <c r="G7" s="32" t="s">
        <v>527</v>
      </c>
      <c r="H7" s="32" t="s">
        <v>528</v>
      </c>
      <c r="I7" s="32" t="s">
        <v>529</v>
      </c>
      <c r="J7" s="32" t="s">
        <v>530</v>
      </c>
      <c r="K7" s="1"/>
      <c r="L7" s="1"/>
      <c r="M7" s="1"/>
      <c r="N7" s="1"/>
      <c r="O7" s="1"/>
      <c r="P7" s="1"/>
      <c r="Q7" s="1"/>
      <c r="R7" s="1"/>
      <c r="S7" s="1"/>
      <c r="T7" s="1"/>
      <c r="U7" s="1"/>
      <c r="V7" s="1"/>
    </row>
    <row r="8" spans="1:22" ht="48" customHeight="1">
      <c r="A8" s="3" t="s">
        <v>531</v>
      </c>
      <c r="B8" s="10">
        <v>0</v>
      </c>
      <c r="C8" s="10">
        <v>0</v>
      </c>
      <c r="D8" s="10">
        <v>0</v>
      </c>
      <c r="E8" s="33">
        <v>0</v>
      </c>
      <c r="F8" s="10">
        <v>0</v>
      </c>
      <c r="G8" s="3" t="s">
        <v>532</v>
      </c>
      <c r="H8" s="3" t="s">
        <v>533</v>
      </c>
      <c r="I8" s="3" t="s">
        <v>534</v>
      </c>
      <c r="J8" s="3" t="s">
        <v>63</v>
      </c>
      <c r="K8" s="1"/>
      <c r="L8" s="1"/>
      <c r="M8" s="1"/>
      <c r="N8" s="1"/>
      <c r="O8" s="1"/>
      <c r="P8" s="1"/>
      <c r="Q8" s="1"/>
      <c r="R8" s="1"/>
      <c r="S8" s="1"/>
      <c r="T8" s="1"/>
      <c r="U8" s="1"/>
      <c r="V8" s="1"/>
    </row>
    <row r="9" spans="1:22" ht="48" customHeight="1">
      <c r="A9" s="3" t="s">
        <v>535</v>
      </c>
      <c r="B9" s="10">
        <v>-0.1</v>
      </c>
      <c r="C9" s="10">
        <v>-0.05</v>
      </c>
      <c r="D9" s="10">
        <v>0.01</v>
      </c>
      <c r="E9" s="33">
        <v>75</v>
      </c>
      <c r="F9" s="10">
        <v>0.05</v>
      </c>
      <c r="G9" s="3" t="s">
        <v>536</v>
      </c>
      <c r="H9" s="3" t="s">
        <v>537</v>
      </c>
      <c r="I9" s="3" t="s">
        <v>538</v>
      </c>
      <c r="J9" s="3" t="s">
        <v>63</v>
      </c>
      <c r="K9" s="1"/>
      <c r="L9" s="1"/>
      <c r="M9" s="1"/>
      <c r="N9" s="1"/>
      <c r="O9" s="1"/>
      <c r="P9" s="1"/>
      <c r="Q9" s="1"/>
      <c r="R9" s="1"/>
      <c r="S9" s="1"/>
      <c r="T9" s="1"/>
      <c r="U9" s="1"/>
      <c r="V9" s="1"/>
    </row>
    <row r="10" spans="1:22" ht="48" customHeight="1">
      <c r="A10" s="3" t="s">
        <v>539</v>
      </c>
      <c r="B10" s="10">
        <v>-0.25</v>
      </c>
      <c r="C10" s="10">
        <v>-0.1</v>
      </c>
      <c r="D10" s="10">
        <v>0.03</v>
      </c>
      <c r="E10" s="33">
        <v>150</v>
      </c>
      <c r="F10" s="10">
        <v>0.1</v>
      </c>
      <c r="G10" s="3" t="s">
        <v>540</v>
      </c>
      <c r="H10" s="3" t="s">
        <v>541</v>
      </c>
      <c r="I10" s="3" t="s">
        <v>542</v>
      </c>
      <c r="J10" s="3" t="s">
        <v>63</v>
      </c>
      <c r="K10" s="1"/>
      <c r="L10" s="1"/>
      <c r="M10" s="1"/>
      <c r="N10" s="1"/>
      <c r="O10" s="1"/>
      <c r="P10" s="1"/>
      <c r="Q10" s="1"/>
      <c r="R10" s="1"/>
      <c r="S10" s="1"/>
      <c r="T10" s="1"/>
      <c r="U10" s="1"/>
      <c r="V10" s="1"/>
    </row>
    <row r="11" spans="1:22">
      <c r="A11" s="1"/>
      <c r="B11" s="1"/>
      <c r="C11" s="1"/>
      <c r="D11" s="1"/>
      <c r="E11" s="1"/>
      <c r="F11" s="1"/>
      <c r="G11" s="1"/>
      <c r="H11" s="1"/>
      <c r="I11" s="1"/>
      <c r="J11" s="1"/>
      <c r="K11" s="1"/>
      <c r="L11" s="1"/>
      <c r="M11" s="1"/>
      <c r="N11" s="1"/>
      <c r="O11" s="1"/>
      <c r="P11" s="1"/>
      <c r="Q11" s="1"/>
      <c r="R11" s="1"/>
      <c r="S11" s="1"/>
      <c r="T11" s="1"/>
      <c r="U11" s="1"/>
      <c r="V11" s="1"/>
    </row>
    <row r="12" spans="1:22" ht="21.95" customHeight="1">
      <c r="A12" s="47" t="s">
        <v>543</v>
      </c>
      <c r="B12" s="47"/>
      <c r="C12" s="47"/>
      <c r="D12" s="47"/>
      <c r="E12" s="47"/>
      <c r="F12" s="47"/>
      <c r="G12" s="47"/>
      <c r="H12" s="47"/>
      <c r="I12" s="47"/>
      <c r="J12" s="47"/>
      <c r="K12" s="1"/>
      <c r="L12" s="1"/>
      <c r="M12" s="1"/>
      <c r="N12" s="1"/>
      <c r="O12" s="1"/>
      <c r="P12" s="1"/>
      <c r="Q12" s="1"/>
      <c r="R12" s="1"/>
      <c r="S12" s="1"/>
      <c r="T12" s="1"/>
      <c r="U12" s="1"/>
      <c r="V12" s="1"/>
    </row>
    <row r="13" spans="1:22" ht="75">
      <c r="A13" s="32" t="s">
        <v>544</v>
      </c>
      <c r="B13" s="32" t="s">
        <v>545</v>
      </c>
      <c r="C13" s="32" t="s">
        <v>546</v>
      </c>
      <c r="D13" s="32" t="s">
        <v>547</v>
      </c>
      <c r="E13" s="32" t="s">
        <v>548</v>
      </c>
      <c r="F13" s="32" t="s">
        <v>549</v>
      </c>
      <c r="G13" s="32" t="s">
        <v>550</v>
      </c>
      <c r="H13" s="32" t="s">
        <v>551</v>
      </c>
      <c r="I13" s="32" t="s">
        <v>552</v>
      </c>
      <c r="J13" s="32" t="s">
        <v>553</v>
      </c>
      <c r="K13" s="32" t="s">
        <v>554</v>
      </c>
      <c r="L13" s="32" t="s">
        <v>555</v>
      </c>
      <c r="M13" s="32" t="s">
        <v>556</v>
      </c>
      <c r="N13" s="32" t="s">
        <v>557</v>
      </c>
      <c r="O13" s="1"/>
      <c r="P13" s="1"/>
      <c r="Q13" s="1"/>
      <c r="R13" s="1"/>
      <c r="S13" s="1"/>
      <c r="T13" s="1"/>
      <c r="U13" s="1"/>
      <c r="V13" s="1"/>
    </row>
    <row r="14" spans="1:22" ht="28.5">
      <c r="A14" s="3" t="s">
        <v>558</v>
      </c>
      <c r="B14" s="3" t="s">
        <v>559</v>
      </c>
      <c r="C14" s="18">
        <v>5000</v>
      </c>
      <c r="D14" s="18">
        <v>1750</v>
      </c>
      <c r="E14" s="18">
        <v>3000</v>
      </c>
      <c r="F14" s="18">
        <v>400</v>
      </c>
      <c r="G14" s="18">
        <v>180</v>
      </c>
      <c r="H14" s="18">
        <v>650</v>
      </c>
      <c r="I14" s="18">
        <v>300</v>
      </c>
      <c r="J14" s="18">
        <v>150</v>
      </c>
      <c r="K14" s="18">
        <v>500</v>
      </c>
      <c r="L14" s="34">
        <v>1.4999999999999999E-2</v>
      </c>
      <c r="M14" s="34">
        <v>0.45</v>
      </c>
      <c r="N14" s="3" t="s">
        <v>560</v>
      </c>
      <c r="O14" s="1"/>
      <c r="P14" s="1"/>
      <c r="Q14" s="1"/>
      <c r="R14" s="1"/>
      <c r="S14" s="1"/>
      <c r="T14" s="1"/>
      <c r="U14" s="1"/>
      <c r="V14" s="1"/>
    </row>
    <row r="15" spans="1:22">
      <c r="A15" s="3" t="s">
        <v>561</v>
      </c>
      <c r="B15" s="3" t="s">
        <v>562</v>
      </c>
      <c r="C15" s="18">
        <v>12000</v>
      </c>
      <c r="D15" s="18">
        <v>3000</v>
      </c>
      <c r="E15" s="18">
        <v>5500</v>
      </c>
      <c r="F15" s="18">
        <v>900</v>
      </c>
      <c r="G15" s="18">
        <v>330</v>
      </c>
      <c r="H15" s="18">
        <v>1000</v>
      </c>
      <c r="I15" s="18">
        <v>450</v>
      </c>
      <c r="J15" s="18">
        <v>90</v>
      </c>
      <c r="K15" s="18">
        <v>800</v>
      </c>
      <c r="L15" s="34">
        <v>0.01</v>
      </c>
      <c r="M15" s="34">
        <v>0.4</v>
      </c>
      <c r="N15" s="3" t="s">
        <v>560</v>
      </c>
      <c r="O15" s="1"/>
      <c r="P15" s="1"/>
      <c r="Q15" s="1"/>
      <c r="R15" s="1"/>
      <c r="S15" s="1"/>
      <c r="T15" s="1"/>
      <c r="U15" s="1"/>
      <c r="V15" s="1"/>
    </row>
    <row r="16" spans="1:22">
      <c r="A16" s="3" t="s">
        <v>563</v>
      </c>
      <c r="B16" s="3" t="s">
        <v>564</v>
      </c>
      <c r="C16" s="18">
        <v>3500</v>
      </c>
      <c r="D16" s="18">
        <v>700</v>
      </c>
      <c r="E16" s="18">
        <v>1800</v>
      </c>
      <c r="F16" s="18">
        <v>250</v>
      </c>
      <c r="G16" s="18">
        <v>140</v>
      </c>
      <c r="H16" s="18">
        <v>220</v>
      </c>
      <c r="I16" s="18">
        <v>180</v>
      </c>
      <c r="J16" s="18">
        <v>35</v>
      </c>
      <c r="K16" s="18">
        <v>300</v>
      </c>
      <c r="L16" s="34">
        <v>2.5000000000000001E-2</v>
      </c>
      <c r="M16" s="34">
        <v>0.5</v>
      </c>
      <c r="N16" s="3" t="s">
        <v>560</v>
      </c>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ht="21.95" customHeight="1">
      <c r="A18" s="47" t="s">
        <v>565</v>
      </c>
      <c r="B18" s="47"/>
      <c r="C18" s="47"/>
      <c r="D18" s="47"/>
      <c r="E18" s="47"/>
      <c r="F18" s="47"/>
      <c r="G18" s="47"/>
      <c r="H18" s="47"/>
      <c r="I18" s="47"/>
      <c r="J18" s="47"/>
      <c r="K18" s="1"/>
      <c r="L18" s="1"/>
      <c r="M18" s="1"/>
      <c r="N18" s="1"/>
      <c r="O18" s="1"/>
      <c r="P18" s="1"/>
      <c r="Q18" s="1"/>
      <c r="R18" s="1"/>
      <c r="S18" s="1"/>
      <c r="T18" s="1"/>
      <c r="U18" s="1"/>
      <c r="V18" s="1"/>
    </row>
    <row r="19" spans="1:22" ht="15">
      <c r="A19" s="32" t="s">
        <v>566</v>
      </c>
      <c r="B19" s="32" t="s">
        <v>567</v>
      </c>
      <c r="C19" s="32" t="s">
        <v>101</v>
      </c>
      <c r="D19" s="32" t="s">
        <v>568</v>
      </c>
      <c r="E19" s="1"/>
      <c r="F19" s="1"/>
      <c r="G19" s="1"/>
      <c r="H19" s="1"/>
      <c r="I19" s="1"/>
      <c r="J19" s="1"/>
      <c r="K19" s="1"/>
      <c r="L19" s="1"/>
      <c r="M19" s="1"/>
      <c r="N19" s="1"/>
      <c r="O19" s="1"/>
      <c r="P19" s="1"/>
      <c r="Q19" s="1"/>
      <c r="R19" s="1"/>
      <c r="S19" s="1"/>
      <c r="T19" s="1"/>
      <c r="U19" s="1"/>
      <c r="V19" s="1"/>
    </row>
    <row r="20" spans="1:22" ht="28.5">
      <c r="A20" s="3" t="s">
        <v>569</v>
      </c>
      <c r="B20" s="10">
        <v>0.15</v>
      </c>
      <c r="C20" s="3" t="s">
        <v>119</v>
      </c>
      <c r="D20" s="3" t="s">
        <v>570</v>
      </c>
      <c r="E20" s="1"/>
      <c r="F20" s="1"/>
      <c r="G20" s="1"/>
      <c r="H20" s="1"/>
      <c r="I20" s="1"/>
      <c r="J20" s="1"/>
      <c r="K20" s="1"/>
      <c r="L20" s="1"/>
      <c r="M20" s="1"/>
      <c r="N20" s="1"/>
      <c r="O20" s="1"/>
      <c r="P20" s="1"/>
      <c r="Q20" s="1"/>
      <c r="R20" s="1"/>
      <c r="S20" s="1"/>
      <c r="T20" s="1"/>
      <c r="U20" s="1"/>
      <c r="V20" s="1"/>
    </row>
    <row r="21" spans="1:22" ht="42.75">
      <c r="A21" s="3" t="s">
        <v>571</v>
      </c>
      <c r="B21" s="10">
        <v>0.2</v>
      </c>
      <c r="C21" s="3" t="s">
        <v>119</v>
      </c>
      <c r="D21" s="3" t="s">
        <v>572</v>
      </c>
      <c r="E21" s="1"/>
      <c r="F21" s="1"/>
      <c r="G21" s="1"/>
      <c r="H21" s="1"/>
      <c r="I21" s="1"/>
      <c r="J21" s="1"/>
      <c r="K21" s="1"/>
      <c r="L21" s="1"/>
      <c r="M21" s="1"/>
      <c r="N21" s="1"/>
      <c r="O21" s="1"/>
      <c r="P21" s="1"/>
      <c r="Q21" s="1"/>
      <c r="R21" s="1"/>
      <c r="S21" s="1"/>
      <c r="T21" s="1"/>
      <c r="U21" s="1"/>
      <c r="V21" s="1"/>
    </row>
    <row r="22" spans="1:22" ht="28.5">
      <c r="A22" s="3" t="s">
        <v>573</v>
      </c>
      <c r="B22" s="10">
        <v>0.8</v>
      </c>
      <c r="C22" s="3" t="s">
        <v>119</v>
      </c>
      <c r="D22" s="3" t="s">
        <v>574</v>
      </c>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sheetData>
  <mergeCells count="4">
    <mergeCell ref="A1:J1"/>
    <mergeCell ref="A3:J5"/>
    <mergeCell ref="A12:J12"/>
    <mergeCell ref="A18:J1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40"/>
  <sheetViews>
    <sheetView workbookViewId="0">
      <selection activeCell="E22" sqref="E22"/>
    </sheetView>
  </sheetViews>
  <sheetFormatPr defaultRowHeight="14.25"/>
  <cols>
    <col min="1" max="1" width="18" customWidth="1"/>
    <col min="2" max="2" width="24" customWidth="1"/>
    <col min="3" max="6" width="16" customWidth="1"/>
    <col min="7" max="7" width="18" customWidth="1"/>
    <col min="8" max="9" width="16" customWidth="1"/>
    <col min="10" max="10" width="12" customWidth="1"/>
    <col min="11" max="11" width="16" customWidth="1"/>
    <col min="12" max="12" width="14" customWidth="1"/>
    <col min="13" max="13" width="16" customWidth="1"/>
    <col min="14" max="14" width="18" customWidth="1"/>
    <col min="15" max="17" width="14" customWidth="1"/>
    <col min="18" max="18" width="20" customWidth="1"/>
    <col min="19" max="20" width="14" customWidth="1"/>
    <col min="21" max="21" width="36" customWidth="1"/>
    <col min="22" max="22" width="24" customWidth="1"/>
  </cols>
  <sheetData>
    <row r="1" spans="1:22" ht="27.95" customHeight="1">
      <c r="A1" s="46" t="s">
        <v>575</v>
      </c>
      <c r="B1" s="46"/>
      <c r="C1" s="46"/>
      <c r="D1" s="46"/>
      <c r="E1" s="46"/>
      <c r="F1" s="46"/>
      <c r="G1" s="46"/>
      <c r="H1" s="46"/>
      <c r="I1" s="46"/>
      <c r="J1" s="46"/>
      <c r="K1" s="46"/>
      <c r="L1" s="46"/>
      <c r="M1" s="46"/>
      <c r="N1" s="46"/>
      <c r="O1" s="46"/>
      <c r="P1" s="46"/>
      <c r="Q1" s="46"/>
      <c r="R1" s="46"/>
      <c r="S1" s="46"/>
      <c r="T1" s="46"/>
      <c r="U1" s="46"/>
      <c r="V1" s="46"/>
    </row>
    <row r="2" spans="1:22">
      <c r="A2" s="1"/>
      <c r="B2" s="1"/>
      <c r="C2" s="1"/>
      <c r="D2" s="1"/>
      <c r="E2" s="1"/>
      <c r="F2" s="1"/>
      <c r="G2" s="1"/>
      <c r="H2" s="1"/>
      <c r="I2" s="1"/>
      <c r="J2" s="1"/>
      <c r="K2" s="1"/>
      <c r="L2" s="1"/>
      <c r="M2" s="1"/>
      <c r="N2" s="1"/>
      <c r="O2" s="1"/>
      <c r="P2" s="1"/>
      <c r="Q2" s="1"/>
      <c r="R2" s="1"/>
      <c r="S2" s="1"/>
      <c r="T2" s="1"/>
      <c r="U2" s="1"/>
      <c r="V2" s="1"/>
    </row>
    <row r="3" spans="1:22">
      <c r="A3" s="48" t="s">
        <v>576</v>
      </c>
      <c r="B3" s="48"/>
      <c r="C3" s="48"/>
      <c r="D3" s="48"/>
      <c r="E3" s="48"/>
      <c r="F3" s="48"/>
      <c r="G3" s="48"/>
      <c r="H3" s="48"/>
      <c r="I3" s="48"/>
      <c r="J3" s="48"/>
      <c r="K3" s="48"/>
      <c r="L3" s="48"/>
      <c r="M3" s="48"/>
      <c r="N3" s="48"/>
      <c r="O3" s="48"/>
      <c r="P3" s="48"/>
      <c r="Q3" s="48"/>
      <c r="R3" s="48"/>
      <c r="S3" s="48"/>
      <c r="T3" s="48"/>
      <c r="U3" s="48"/>
      <c r="V3" s="48"/>
    </row>
    <row r="4" spans="1:22">
      <c r="A4" s="48"/>
      <c r="B4" s="48"/>
      <c r="C4" s="48"/>
      <c r="D4" s="48"/>
      <c r="E4" s="48"/>
      <c r="F4" s="48"/>
      <c r="G4" s="48"/>
      <c r="H4" s="48"/>
      <c r="I4" s="48"/>
      <c r="J4" s="48"/>
      <c r="K4" s="48"/>
      <c r="L4" s="48"/>
      <c r="M4" s="48"/>
      <c r="N4" s="48"/>
      <c r="O4" s="48"/>
      <c r="P4" s="48"/>
      <c r="Q4" s="48"/>
      <c r="R4" s="48"/>
      <c r="S4" s="48"/>
      <c r="T4" s="48"/>
      <c r="U4" s="48"/>
      <c r="V4" s="48"/>
    </row>
    <row r="5" spans="1:22">
      <c r="A5" s="1"/>
      <c r="B5" s="1"/>
      <c r="C5" s="1"/>
      <c r="D5" s="1"/>
      <c r="E5" s="1"/>
      <c r="F5" s="1"/>
      <c r="G5" s="1"/>
      <c r="H5" s="1"/>
      <c r="I5" s="1"/>
      <c r="J5" s="1"/>
      <c r="K5" s="1"/>
      <c r="L5" s="1"/>
      <c r="M5" s="1"/>
      <c r="N5" s="1"/>
      <c r="O5" s="1"/>
      <c r="P5" s="1"/>
      <c r="Q5" s="1"/>
      <c r="R5" s="1"/>
      <c r="S5" s="1"/>
      <c r="T5" s="1"/>
      <c r="U5" s="1"/>
      <c r="V5" s="1"/>
    </row>
    <row r="6" spans="1:22" ht="30">
      <c r="A6" s="32" t="s">
        <v>544</v>
      </c>
      <c r="B6" s="32" t="s">
        <v>521</v>
      </c>
      <c r="C6" s="32" t="s">
        <v>546</v>
      </c>
      <c r="D6" s="32" t="s">
        <v>547</v>
      </c>
      <c r="E6" s="32" t="s">
        <v>494</v>
      </c>
      <c r="F6" s="32" t="s">
        <v>577</v>
      </c>
      <c r="G6" s="32" t="s">
        <v>578</v>
      </c>
      <c r="H6" s="32" t="s">
        <v>579</v>
      </c>
      <c r="I6" s="32" t="s">
        <v>580</v>
      </c>
      <c r="J6" s="32" t="s">
        <v>512</v>
      </c>
      <c r="K6" s="32" t="s">
        <v>501</v>
      </c>
      <c r="L6" s="32" t="s">
        <v>507</v>
      </c>
      <c r="M6" s="32" t="s">
        <v>581</v>
      </c>
      <c r="N6" s="32" t="s">
        <v>582</v>
      </c>
      <c r="O6" s="32" t="s">
        <v>583</v>
      </c>
      <c r="P6" s="32" t="s">
        <v>584</v>
      </c>
      <c r="Q6" s="32" t="s">
        <v>585</v>
      </c>
      <c r="R6" s="32" t="s">
        <v>586</v>
      </c>
      <c r="S6" s="32" t="s">
        <v>587</v>
      </c>
      <c r="T6" s="32" t="s">
        <v>588</v>
      </c>
      <c r="U6" s="32" t="s">
        <v>589</v>
      </c>
      <c r="V6" s="32" t="s">
        <v>590</v>
      </c>
    </row>
    <row r="7" spans="1:22">
      <c r="A7" s="9" t="str">
        <f>'O&amp;G Scenario Inputs'!A14</f>
        <v>UpstreamCo</v>
      </c>
      <c r="B7" s="9" t="str">
        <f>'O&amp;G Scenario Inputs'!A8</f>
        <v>Current Policies-style</v>
      </c>
      <c r="C7" s="35">
        <f>'O&amp;G Scenario Inputs'!C14*(1+'O&amp;G Scenario Inputs'!B8)*(1+'O&amp;G Scenario Inputs'!C8)</f>
        <v>5000</v>
      </c>
      <c r="D7" s="35">
        <f>C7*('O&amp;G Scenario Inputs'!D14/'O&amp;G Scenario Inputs'!C14)-C7*'O&amp;G Scenario Inputs'!D8-F7</f>
        <v>1750</v>
      </c>
      <c r="E7" s="19">
        <f t="shared" ref="E7:E15" si="0">D7/C7</f>
        <v>0.35</v>
      </c>
      <c r="F7" s="35">
        <f>C7*'O&amp;G Scenario Inputs'!J14*'O&amp;G Scenario Inputs'!E8/1000000</f>
        <v>0</v>
      </c>
      <c r="G7" s="35">
        <f>C7*'O&amp;G Scenario Inputs'!F8</f>
        <v>0</v>
      </c>
      <c r="H7" s="35">
        <f>D7-(MAX(D7,0)*'O&amp;G Scenario Inputs'!B20)-'O&amp;G Scenario Inputs'!H14-G7</f>
        <v>837.5</v>
      </c>
      <c r="I7" s="35">
        <f>'O&amp;G Scenario Inputs'!G14+'O&amp;G Scenario Inputs'!I14</f>
        <v>480</v>
      </c>
      <c r="J7" s="36">
        <f t="shared" ref="J7:J15" si="1">H7/I7</f>
        <v>1.7447916666666667</v>
      </c>
      <c r="K7" s="36">
        <f>D7/'O&amp;G Scenario Inputs'!G14</f>
        <v>9.7222222222222214</v>
      </c>
      <c r="L7" s="36">
        <f>('O&amp;G Scenario Inputs'!E14-'O&amp;G Scenario Inputs'!F14)/D7</f>
        <v>1.4857142857142858</v>
      </c>
      <c r="M7" s="19">
        <f>D7/'O&amp;G Scenario Inputs'!D14-1</f>
        <v>0</v>
      </c>
      <c r="N7" s="37">
        <f t="shared" ref="N7:N15" si="2">IF(B7="Current Policies-style",1,IF(AND(K7&gt;=4,L7&lt;=2.5,J7&gt;=1.5),1,IF(AND(K7&gt;=2.5,L7&lt;=3.5,J7&gt;=1.2),1.5,IF(AND(K7&gt;=1.5,J7&gt;=1),2.5,5))))</f>
        <v>1</v>
      </c>
      <c r="O7" s="38">
        <f>MIN('O&amp;G Scenario Inputs'!B21,'O&amp;G Scenario Inputs'!L14*N7)</f>
        <v>1.4999999999999999E-2</v>
      </c>
      <c r="P7" s="38">
        <f>MIN('O&amp;G Scenario Inputs'!B22,'O&amp;G Scenario Inputs'!M14+IF(M7&lt;-0.35,0.1,IF(M7&lt;-0.2,0.05,0)))</f>
        <v>0.45</v>
      </c>
      <c r="Q7" s="35">
        <f>'O&amp;G Scenario Inputs'!K14</f>
        <v>500</v>
      </c>
      <c r="R7" s="35">
        <f t="shared" ref="R7:R15" si="3">O7*P7*Q7</f>
        <v>3.375</v>
      </c>
      <c r="S7" s="38">
        <f t="shared" ref="S7:S15" si="4">R7/Q7</f>
        <v>6.7499999999999999E-3</v>
      </c>
      <c r="T7" s="14" t="str">
        <f t="shared" ref="T7:T15" si="5">IF(B7="Current Policies-style","Reference",IF(OR(J7&lt;1,K7&lt;1.5),"Severe",IF(OR(J7&lt;1.2,K7&lt;2.5),"Watch","Stable")))</f>
        <v>Reference</v>
      </c>
      <c r="U7" s="14" t="str">
        <f t="shared" ref="U7:U15" si="6">IF(B7="Current Policies-style","Reference case",IF(F7&gt;1,"Revenue + carbon cost + transition capex","Revenue pressure + transition capex"))</f>
        <v>Reference case</v>
      </c>
      <c r="V7" s="3" t="s">
        <v>591</v>
      </c>
    </row>
    <row r="8" spans="1:22">
      <c r="A8" s="9" t="str">
        <f>'O&amp;G Scenario Inputs'!A14</f>
        <v>UpstreamCo</v>
      </c>
      <c r="B8" s="9" t="str">
        <f>'O&amp;G Scenario Inputs'!A9</f>
        <v>Accelerated Transition</v>
      </c>
      <c r="C8" s="35">
        <f>'O&amp;G Scenario Inputs'!C14*(1+'O&amp;G Scenario Inputs'!B9)*(1+'O&amp;G Scenario Inputs'!C9)</f>
        <v>4275</v>
      </c>
      <c r="D8" s="35">
        <f>C8*('O&amp;G Scenario Inputs'!D14/'O&amp;G Scenario Inputs'!C14)-C8*'O&amp;G Scenario Inputs'!D9-F8</f>
        <v>1405.40625</v>
      </c>
      <c r="E8" s="19">
        <f t="shared" si="0"/>
        <v>0.32874999999999999</v>
      </c>
      <c r="F8" s="35">
        <f>C8*'O&amp;G Scenario Inputs'!J14*'O&amp;G Scenario Inputs'!E9/1000000</f>
        <v>48.09375</v>
      </c>
      <c r="G8" s="35">
        <f>C8*'O&amp;G Scenario Inputs'!F9</f>
        <v>213.75</v>
      </c>
      <c r="H8" s="35">
        <f>D8-(MAX(D8,0)*'O&amp;G Scenario Inputs'!B20)-'O&amp;G Scenario Inputs'!H14-G8</f>
        <v>330.84531250000009</v>
      </c>
      <c r="I8" s="35">
        <f>'O&amp;G Scenario Inputs'!G14+'O&amp;G Scenario Inputs'!I14</f>
        <v>480</v>
      </c>
      <c r="J8" s="36">
        <f t="shared" si="1"/>
        <v>0.68926106770833351</v>
      </c>
      <c r="K8" s="36">
        <f>D8/'O&amp;G Scenario Inputs'!G14</f>
        <v>7.8078124999999998</v>
      </c>
      <c r="L8" s="36">
        <f>('O&amp;G Scenario Inputs'!E14-'O&amp;G Scenario Inputs'!F14)/D8</f>
        <v>1.8499988882218219</v>
      </c>
      <c r="M8" s="19">
        <f>D8/'O&amp;G Scenario Inputs'!D14-1</f>
        <v>-0.19691071428571427</v>
      </c>
      <c r="N8" s="37">
        <f t="shared" si="2"/>
        <v>5</v>
      </c>
      <c r="O8" s="38">
        <f>MIN('O&amp;G Scenario Inputs'!B21,'O&amp;G Scenario Inputs'!L14*N8)</f>
        <v>7.4999999999999997E-2</v>
      </c>
      <c r="P8" s="38">
        <f>MIN('O&amp;G Scenario Inputs'!B22,'O&amp;G Scenario Inputs'!M14+IF(M8&lt;-0.35,0.1,IF(M8&lt;-0.2,0.05,0)))</f>
        <v>0.45</v>
      </c>
      <c r="Q8" s="35">
        <f>'O&amp;G Scenario Inputs'!K14</f>
        <v>500</v>
      </c>
      <c r="R8" s="35">
        <f t="shared" si="3"/>
        <v>16.875</v>
      </c>
      <c r="S8" s="38">
        <f t="shared" si="4"/>
        <v>3.3750000000000002E-2</v>
      </c>
      <c r="T8" s="14" t="str">
        <f t="shared" si="5"/>
        <v>Severe</v>
      </c>
      <c r="U8" s="14" t="str">
        <f t="shared" si="6"/>
        <v>Revenue + carbon cost + transition capex</v>
      </c>
      <c r="V8" s="3" t="s">
        <v>591</v>
      </c>
    </row>
    <row r="9" spans="1:22">
      <c r="A9" s="9" t="str">
        <f>'O&amp;G Scenario Inputs'!A14</f>
        <v>UpstreamCo</v>
      </c>
      <c r="B9" s="9" t="str">
        <f>'O&amp;G Scenario Inputs'!A10</f>
        <v>Severe Transition</v>
      </c>
      <c r="C9" s="35">
        <f>'O&amp;G Scenario Inputs'!C14*(1+'O&amp;G Scenario Inputs'!B10)*(1+'O&amp;G Scenario Inputs'!C10)</f>
        <v>3375</v>
      </c>
      <c r="D9" s="35">
        <f>C9*('O&amp;G Scenario Inputs'!D14/'O&amp;G Scenario Inputs'!C14)-C9*'O&amp;G Scenario Inputs'!D10-F9</f>
        <v>1004.0625</v>
      </c>
      <c r="E9" s="19">
        <f t="shared" si="0"/>
        <v>0.29749999999999999</v>
      </c>
      <c r="F9" s="35">
        <f>C9*'O&amp;G Scenario Inputs'!J14*'O&amp;G Scenario Inputs'!E10/1000000</f>
        <v>75.9375</v>
      </c>
      <c r="G9" s="35">
        <f>C9*'O&amp;G Scenario Inputs'!F10</f>
        <v>337.5</v>
      </c>
      <c r="H9" s="35">
        <f>D9-(MAX(D9,0)*'O&amp;G Scenario Inputs'!B20)-'O&amp;G Scenario Inputs'!H14-G9</f>
        <v>-134.046875</v>
      </c>
      <c r="I9" s="35">
        <f>'O&amp;G Scenario Inputs'!G14+'O&amp;G Scenario Inputs'!I14</f>
        <v>480</v>
      </c>
      <c r="J9" s="36">
        <f t="shared" si="1"/>
        <v>-0.27926432291666664</v>
      </c>
      <c r="K9" s="36">
        <f>D9/'O&amp;G Scenario Inputs'!G14</f>
        <v>5.578125</v>
      </c>
      <c r="L9" s="36">
        <f>('O&amp;G Scenario Inputs'!E14-'O&amp;G Scenario Inputs'!F14)/D9</f>
        <v>2.5894802365390599</v>
      </c>
      <c r="M9" s="19">
        <f>D9/'O&amp;G Scenario Inputs'!D14-1</f>
        <v>-0.42625000000000002</v>
      </c>
      <c r="N9" s="37">
        <f t="shared" si="2"/>
        <v>5</v>
      </c>
      <c r="O9" s="38">
        <f>MIN('O&amp;G Scenario Inputs'!B21,'O&amp;G Scenario Inputs'!L14*N9)</f>
        <v>7.4999999999999997E-2</v>
      </c>
      <c r="P9" s="38">
        <f>MIN('O&amp;G Scenario Inputs'!B22,'O&amp;G Scenario Inputs'!M14+IF(M9&lt;-0.35,0.1,IF(M9&lt;-0.2,0.05,0)))</f>
        <v>0.55000000000000004</v>
      </c>
      <c r="Q9" s="35">
        <f>'O&amp;G Scenario Inputs'!K14</f>
        <v>500</v>
      </c>
      <c r="R9" s="35">
        <f t="shared" si="3"/>
        <v>20.625</v>
      </c>
      <c r="S9" s="38">
        <f t="shared" si="4"/>
        <v>4.1250000000000002E-2</v>
      </c>
      <c r="T9" s="14" t="str">
        <f t="shared" si="5"/>
        <v>Severe</v>
      </c>
      <c r="U9" s="14" t="str">
        <f t="shared" si="6"/>
        <v>Revenue + carbon cost + transition capex</v>
      </c>
      <c r="V9" s="3" t="s">
        <v>591</v>
      </c>
    </row>
    <row r="10" spans="1:22">
      <c r="A10" s="9" t="str">
        <f>'O&amp;G Scenario Inputs'!A15</f>
        <v>IntegratedCo</v>
      </c>
      <c r="B10" s="9" t="str">
        <f>'O&amp;G Scenario Inputs'!A8</f>
        <v>Current Policies-style</v>
      </c>
      <c r="C10" s="35">
        <f>'O&amp;G Scenario Inputs'!C15*(1+'O&amp;G Scenario Inputs'!B8)*(1+'O&amp;G Scenario Inputs'!C8)</f>
        <v>12000</v>
      </c>
      <c r="D10" s="35">
        <f>C10*('O&amp;G Scenario Inputs'!D15/'O&amp;G Scenario Inputs'!C15)-C10*'O&amp;G Scenario Inputs'!D8-F10</f>
        <v>3000</v>
      </c>
      <c r="E10" s="19">
        <f t="shared" si="0"/>
        <v>0.25</v>
      </c>
      <c r="F10" s="35">
        <f>C10*'O&amp;G Scenario Inputs'!J15*'O&amp;G Scenario Inputs'!E8/1000000</f>
        <v>0</v>
      </c>
      <c r="G10" s="35">
        <f>C10*'O&amp;G Scenario Inputs'!F8</f>
        <v>0</v>
      </c>
      <c r="H10" s="35">
        <f>D10-(MAX(D10,0)*'O&amp;G Scenario Inputs'!B20)-'O&amp;G Scenario Inputs'!H15-G10</f>
        <v>1550</v>
      </c>
      <c r="I10" s="35">
        <f>'O&amp;G Scenario Inputs'!G15+'O&amp;G Scenario Inputs'!I15</f>
        <v>780</v>
      </c>
      <c r="J10" s="36">
        <f t="shared" si="1"/>
        <v>1.9871794871794872</v>
      </c>
      <c r="K10" s="36">
        <f>D10/'O&amp;G Scenario Inputs'!G15</f>
        <v>9.0909090909090917</v>
      </c>
      <c r="L10" s="36">
        <f>('O&amp;G Scenario Inputs'!E15-'O&amp;G Scenario Inputs'!F15)/D10</f>
        <v>1.5333333333333334</v>
      </c>
      <c r="M10" s="19">
        <f>D10/'O&amp;G Scenario Inputs'!D15-1</f>
        <v>0</v>
      </c>
      <c r="N10" s="37">
        <f t="shared" si="2"/>
        <v>1</v>
      </c>
      <c r="O10" s="38">
        <f>MIN('O&amp;G Scenario Inputs'!B21,'O&amp;G Scenario Inputs'!L15*N10)</f>
        <v>0.01</v>
      </c>
      <c r="P10" s="38">
        <f>MIN('O&amp;G Scenario Inputs'!B22,'O&amp;G Scenario Inputs'!M15+IF(M10&lt;-0.35,0.1,IF(M10&lt;-0.2,0.05,0)))</f>
        <v>0.4</v>
      </c>
      <c r="Q10" s="35">
        <f>'O&amp;G Scenario Inputs'!K15</f>
        <v>800</v>
      </c>
      <c r="R10" s="35">
        <f t="shared" si="3"/>
        <v>3.2</v>
      </c>
      <c r="S10" s="38">
        <f t="shared" si="4"/>
        <v>4.0000000000000001E-3</v>
      </c>
      <c r="T10" s="14" t="str">
        <f t="shared" si="5"/>
        <v>Reference</v>
      </c>
      <c r="U10" s="14" t="str">
        <f t="shared" si="6"/>
        <v>Reference case</v>
      </c>
      <c r="V10" s="3" t="s">
        <v>591</v>
      </c>
    </row>
    <row r="11" spans="1:22">
      <c r="A11" s="9" t="str">
        <f>'O&amp;G Scenario Inputs'!A15</f>
        <v>IntegratedCo</v>
      </c>
      <c r="B11" s="9" t="str">
        <f>'O&amp;G Scenario Inputs'!A9</f>
        <v>Accelerated Transition</v>
      </c>
      <c r="C11" s="35">
        <f>'O&amp;G Scenario Inputs'!C15*(1+'O&amp;G Scenario Inputs'!B9)*(1+'O&amp;G Scenario Inputs'!C9)</f>
        <v>10260</v>
      </c>
      <c r="D11" s="35">
        <f>C11*('O&amp;G Scenario Inputs'!D15/'O&amp;G Scenario Inputs'!C15)-C11*'O&amp;G Scenario Inputs'!D9-F11</f>
        <v>2393.145</v>
      </c>
      <c r="E11" s="19">
        <f t="shared" si="0"/>
        <v>0.23324999999999999</v>
      </c>
      <c r="F11" s="35">
        <f>C11*'O&amp;G Scenario Inputs'!J15*'O&amp;G Scenario Inputs'!E9/1000000</f>
        <v>69.254999999999995</v>
      </c>
      <c r="G11" s="35">
        <f>C11*'O&amp;G Scenario Inputs'!F9</f>
        <v>513</v>
      </c>
      <c r="H11" s="35">
        <f>D11-(MAX(D11,0)*'O&amp;G Scenario Inputs'!B20)-'O&amp;G Scenario Inputs'!H15-G11</f>
        <v>521.17325000000005</v>
      </c>
      <c r="I11" s="35">
        <f>'O&amp;G Scenario Inputs'!G15+'O&amp;G Scenario Inputs'!I15</f>
        <v>780</v>
      </c>
      <c r="J11" s="36">
        <f t="shared" si="1"/>
        <v>0.66817083333333338</v>
      </c>
      <c r="K11" s="36">
        <f>D11/'O&amp;G Scenario Inputs'!G15</f>
        <v>7.2519545454545451</v>
      </c>
      <c r="L11" s="36">
        <f>('O&amp;G Scenario Inputs'!E15-'O&amp;G Scenario Inputs'!F15)/D11</f>
        <v>1.9221568271040828</v>
      </c>
      <c r="M11" s="19">
        <f>D11/'O&amp;G Scenario Inputs'!D15-1</f>
        <v>-0.20228500000000005</v>
      </c>
      <c r="N11" s="37">
        <f t="shared" si="2"/>
        <v>5</v>
      </c>
      <c r="O11" s="38">
        <f>MIN('O&amp;G Scenario Inputs'!B21,'O&amp;G Scenario Inputs'!L15*N11)</f>
        <v>0.05</v>
      </c>
      <c r="P11" s="38">
        <f>MIN('O&amp;G Scenario Inputs'!B22,'O&amp;G Scenario Inputs'!M15+IF(M11&lt;-0.35,0.1,IF(M11&lt;-0.2,0.05,0)))</f>
        <v>0.45</v>
      </c>
      <c r="Q11" s="35">
        <f>'O&amp;G Scenario Inputs'!K15</f>
        <v>800</v>
      </c>
      <c r="R11" s="35">
        <f t="shared" si="3"/>
        <v>18.000000000000004</v>
      </c>
      <c r="S11" s="38">
        <f t="shared" si="4"/>
        <v>2.2500000000000006E-2</v>
      </c>
      <c r="T11" s="14" t="str">
        <f t="shared" si="5"/>
        <v>Severe</v>
      </c>
      <c r="U11" s="14" t="str">
        <f t="shared" si="6"/>
        <v>Revenue + carbon cost + transition capex</v>
      </c>
      <c r="V11" s="3" t="s">
        <v>591</v>
      </c>
    </row>
    <row r="12" spans="1:22">
      <c r="A12" s="9" t="str">
        <f>'O&amp;G Scenario Inputs'!A15</f>
        <v>IntegratedCo</v>
      </c>
      <c r="B12" s="9" t="str">
        <f>'O&amp;G Scenario Inputs'!A10</f>
        <v>Severe Transition</v>
      </c>
      <c r="C12" s="35">
        <f>'O&amp;G Scenario Inputs'!C15*(1+'O&amp;G Scenario Inputs'!B10)*(1+'O&amp;G Scenario Inputs'!C10)</f>
        <v>8100</v>
      </c>
      <c r="D12" s="35">
        <f>C12*('O&amp;G Scenario Inputs'!D15/'O&amp;G Scenario Inputs'!C15)-C12*'O&amp;G Scenario Inputs'!D10-F12</f>
        <v>1672.65</v>
      </c>
      <c r="E12" s="19">
        <f t="shared" si="0"/>
        <v>0.20650000000000002</v>
      </c>
      <c r="F12" s="35">
        <f>C12*'O&amp;G Scenario Inputs'!J15*'O&amp;G Scenario Inputs'!E10/1000000</f>
        <v>109.35</v>
      </c>
      <c r="G12" s="35">
        <f>C12*'O&amp;G Scenario Inputs'!F10</f>
        <v>810</v>
      </c>
      <c r="H12" s="35">
        <f>D12-(MAX(D12,0)*'O&amp;G Scenario Inputs'!B20)-'O&amp;G Scenario Inputs'!H15-G12</f>
        <v>-388.24749999999995</v>
      </c>
      <c r="I12" s="35">
        <f>'O&amp;G Scenario Inputs'!G15+'O&amp;G Scenario Inputs'!I15</f>
        <v>780</v>
      </c>
      <c r="J12" s="36">
        <f t="shared" si="1"/>
        <v>-0.49775320512820503</v>
      </c>
      <c r="K12" s="36">
        <f>D12/'O&amp;G Scenario Inputs'!G15</f>
        <v>5.0686363636363643</v>
      </c>
      <c r="L12" s="36">
        <f>('O&amp;G Scenario Inputs'!E15-'O&amp;G Scenario Inputs'!F15)/D12</f>
        <v>2.7501270439123546</v>
      </c>
      <c r="M12" s="19">
        <f>D12/'O&amp;G Scenario Inputs'!D15-1</f>
        <v>-0.44245000000000001</v>
      </c>
      <c r="N12" s="37">
        <f t="shared" si="2"/>
        <v>5</v>
      </c>
      <c r="O12" s="38">
        <f>MIN('O&amp;G Scenario Inputs'!B21,'O&amp;G Scenario Inputs'!L15*N12)</f>
        <v>0.05</v>
      </c>
      <c r="P12" s="38">
        <f>MIN('O&amp;G Scenario Inputs'!B22,'O&amp;G Scenario Inputs'!M15+IF(M12&lt;-0.35,0.1,IF(M12&lt;-0.2,0.05,0)))</f>
        <v>0.5</v>
      </c>
      <c r="Q12" s="35">
        <f>'O&amp;G Scenario Inputs'!K15</f>
        <v>800</v>
      </c>
      <c r="R12" s="35">
        <f t="shared" si="3"/>
        <v>20</v>
      </c>
      <c r="S12" s="38">
        <f t="shared" si="4"/>
        <v>2.5000000000000001E-2</v>
      </c>
      <c r="T12" s="14" t="str">
        <f t="shared" si="5"/>
        <v>Severe</v>
      </c>
      <c r="U12" s="14" t="str">
        <f t="shared" si="6"/>
        <v>Revenue + carbon cost + transition capex</v>
      </c>
      <c r="V12" s="3" t="s">
        <v>591</v>
      </c>
    </row>
    <row r="13" spans="1:22">
      <c r="A13" s="9" t="str">
        <f>'O&amp;G Scenario Inputs'!A16</f>
        <v>ServicesCo</v>
      </c>
      <c r="B13" s="9" t="str">
        <f>'O&amp;G Scenario Inputs'!A8</f>
        <v>Current Policies-style</v>
      </c>
      <c r="C13" s="35">
        <f>'O&amp;G Scenario Inputs'!C16*(1+'O&amp;G Scenario Inputs'!B8)*(1+'O&amp;G Scenario Inputs'!C8)</f>
        <v>3500</v>
      </c>
      <c r="D13" s="35">
        <f>C13*('O&amp;G Scenario Inputs'!D16/'O&amp;G Scenario Inputs'!C16)-C13*'O&amp;G Scenario Inputs'!D8-F13</f>
        <v>700</v>
      </c>
      <c r="E13" s="19">
        <f t="shared" si="0"/>
        <v>0.2</v>
      </c>
      <c r="F13" s="35">
        <f>C13*'O&amp;G Scenario Inputs'!J16*'O&amp;G Scenario Inputs'!E8/1000000</f>
        <v>0</v>
      </c>
      <c r="G13" s="35">
        <f>C13*'O&amp;G Scenario Inputs'!F8</f>
        <v>0</v>
      </c>
      <c r="H13" s="35">
        <f>D13-(MAX(D13,0)*'O&amp;G Scenario Inputs'!B20)-'O&amp;G Scenario Inputs'!H16-G13</f>
        <v>375</v>
      </c>
      <c r="I13" s="35">
        <f>'O&amp;G Scenario Inputs'!G16+'O&amp;G Scenario Inputs'!I16</f>
        <v>320</v>
      </c>
      <c r="J13" s="36">
        <f t="shared" si="1"/>
        <v>1.171875</v>
      </c>
      <c r="K13" s="36">
        <f>D13/'O&amp;G Scenario Inputs'!G16</f>
        <v>5</v>
      </c>
      <c r="L13" s="36">
        <f>('O&amp;G Scenario Inputs'!E16-'O&amp;G Scenario Inputs'!F16)/D13</f>
        <v>2.2142857142857144</v>
      </c>
      <c r="M13" s="19">
        <f>D13/'O&amp;G Scenario Inputs'!D16-1</f>
        <v>0</v>
      </c>
      <c r="N13" s="37">
        <f t="shared" si="2"/>
        <v>1</v>
      </c>
      <c r="O13" s="38">
        <f>MIN('O&amp;G Scenario Inputs'!B21,'O&amp;G Scenario Inputs'!L16*N13)</f>
        <v>2.5000000000000001E-2</v>
      </c>
      <c r="P13" s="38">
        <f>MIN('O&amp;G Scenario Inputs'!B22,'O&amp;G Scenario Inputs'!M16+IF(M13&lt;-0.35,0.1,IF(M13&lt;-0.2,0.05,0)))</f>
        <v>0.5</v>
      </c>
      <c r="Q13" s="35">
        <f>'O&amp;G Scenario Inputs'!K16</f>
        <v>300</v>
      </c>
      <c r="R13" s="35">
        <f t="shared" si="3"/>
        <v>3.75</v>
      </c>
      <c r="S13" s="38">
        <f t="shared" si="4"/>
        <v>1.2500000000000001E-2</v>
      </c>
      <c r="T13" s="14" t="str">
        <f t="shared" si="5"/>
        <v>Reference</v>
      </c>
      <c r="U13" s="14" t="str">
        <f t="shared" si="6"/>
        <v>Reference case</v>
      </c>
      <c r="V13" s="3" t="s">
        <v>591</v>
      </c>
    </row>
    <row r="14" spans="1:22">
      <c r="A14" s="9" t="str">
        <f>'O&amp;G Scenario Inputs'!A16</f>
        <v>ServicesCo</v>
      </c>
      <c r="B14" s="9" t="str">
        <f>'O&amp;G Scenario Inputs'!A9</f>
        <v>Accelerated Transition</v>
      </c>
      <c r="C14" s="35">
        <f>'O&amp;G Scenario Inputs'!C16*(1+'O&amp;G Scenario Inputs'!B9)*(1+'O&amp;G Scenario Inputs'!C9)</f>
        <v>2992.5</v>
      </c>
      <c r="D14" s="35">
        <f>C14*('O&amp;G Scenario Inputs'!D16/'O&amp;G Scenario Inputs'!C16)-C14*'O&amp;G Scenario Inputs'!D9-F14</f>
        <v>560.71968750000008</v>
      </c>
      <c r="E14" s="19">
        <f t="shared" si="0"/>
        <v>0.18737500000000001</v>
      </c>
      <c r="F14" s="35">
        <f>C14*'O&amp;G Scenario Inputs'!J16*'O&amp;G Scenario Inputs'!E9/1000000</f>
        <v>7.8553125000000001</v>
      </c>
      <c r="G14" s="35">
        <f>C14*'O&amp;G Scenario Inputs'!F9</f>
        <v>149.625</v>
      </c>
      <c r="H14" s="35">
        <f>D14-(MAX(D14,0)*'O&amp;G Scenario Inputs'!B20)-'O&amp;G Scenario Inputs'!H16-G14</f>
        <v>106.98673437500008</v>
      </c>
      <c r="I14" s="35">
        <f>'O&amp;G Scenario Inputs'!G16+'O&amp;G Scenario Inputs'!I16</f>
        <v>320</v>
      </c>
      <c r="J14" s="36">
        <f t="shared" si="1"/>
        <v>0.33433354492187528</v>
      </c>
      <c r="K14" s="36">
        <f>D14/'O&amp;G Scenario Inputs'!G16</f>
        <v>4.0051406250000001</v>
      </c>
      <c r="L14" s="36">
        <f>('O&amp;G Scenario Inputs'!E16-'O&amp;G Scenario Inputs'!F16)/D14</f>
        <v>2.7643045795498304</v>
      </c>
      <c r="M14" s="19">
        <f>D14/'O&amp;G Scenario Inputs'!D16-1</f>
        <v>-0.19897187499999991</v>
      </c>
      <c r="N14" s="37">
        <f t="shared" si="2"/>
        <v>5</v>
      </c>
      <c r="O14" s="38">
        <f>MIN('O&amp;G Scenario Inputs'!B21,'O&amp;G Scenario Inputs'!L16*N14)</f>
        <v>0.125</v>
      </c>
      <c r="P14" s="38">
        <f>MIN('O&amp;G Scenario Inputs'!B22,'O&amp;G Scenario Inputs'!M16+IF(M14&lt;-0.35,0.1,IF(M14&lt;-0.2,0.05,0)))</f>
        <v>0.5</v>
      </c>
      <c r="Q14" s="35">
        <f>'O&amp;G Scenario Inputs'!K16</f>
        <v>300</v>
      </c>
      <c r="R14" s="35">
        <f t="shared" si="3"/>
        <v>18.75</v>
      </c>
      <c r="S14" s="38">
        <f t="shared" si="4"/>
        <v>6.25E-2</v>
      </c>
      <c r="T14" s="14" t="str">
        <f t="shared" si="5"/>
        <v>Severe</v>
      </c>
      <c r="U14" s="14" t="str">
        <f t="shared" si="6"/>
        <v>Revenue + carbon cost + transition capex</v>
      </c>
      <c r="V14" s="3" t="s">
        <v>591</v>
      </c>
    </row>
    <row r="15" spans="1:22">
      <c r="A15" s="9" t="str">
        <f>'O&amp;G Scenario Inputs'!A16</f>
        <v>ServicesCo</v>
      </c>
      <c r="B15" s="9" t="str">
        <f>'O&amp;G Scenario Inputs'!A10</f>
        <v>Severe Transition</v>
      </c>
      <c r="C15" s="35">
        <f>'O&amp;G Scenario Inputs'!C16*(1+'O&amp;G Scenario Inputs'!B10)*(1+'O&amp;G Scenario Inputs'!C10)</f>
        <v>2362.5</v>
      </c>
      <c r="D15" s="35">
        <f>C15*('O&amp;G Scenario Inputs'!D16/'O&amp;G Scenario Inputs'!C16)-C15*'O&amp;G Scenario Inputs'!D10-F15</f>
        <v>389.22187500000001</v>
      </c>
      <c r="E15" s="19">
        <f t="shared" si="0"/>
        <v>0.16475000000000001</v>
      </c>
      <c r="F15" s="35">
        <f>C15*'O&amp;G Scenario Inputs'!J16*'O&amp;G Scenario Inputs'!E10/1000000</f>
        <v>12.403124999999999</v>
      </c>
      <c r="G15" s="35">
        <f>C15*'O&amp;G Scenario Inputs'!F10</f>
        <v>236.25</v>
      </c>
      <c r="H15" s="35">
        <f>D15-(MAX(D15,0)*'O&amp;G Scenario Inputs'!B20)-'O&amp;G Scenario Inputs'!H16-G15</f>
        <v>-125.41140624999997</v>
      </c>
      <c r="I15" s="35">
        <f>'O&amp;G Scenario Inputs'!G16+'O&amp;G Scenario Inputs'!I16</f>
        <v>320</v>
      </c>
      <c r="J15" s="36">
        <f t="shared" si="1"/>
        <v>-0.39191064453124991</v>
      </c>
      <c r="K15" s="36">
        <f>D15/'O&amp;G Scenario Inputs'!G16</f>
        <v>2.7801562500000001</v>
      </c>
      <c r="L15" s="36">
        <f>('O&amp;G Scenario Inputs'!E16-'O&amp;G Scenario Inputs'!F16)/D15</f>
        <v>3.9823044375396424</v>
      </c>
      <c r="M15" s="19">
        <f>D15/'O&amp;G Scenario Inputs'!D16-1</f>
        <v>-0.44396875000000002</v>
      </c>
      <c r="N15" s="37">
        <f t="shared" si="2"/>
        <v>5</v>
      </c>
      <c r="O15" s="38">
        <f>MIN('O&amp;G Scenario Inputs'!B21,'O&amp;G Scenario Inputs'!L16*N15)</f>
        <v>0.125</v>
      </c>
      <c r="P15" s="38">
        <f>MIN('O&amp;G Scenario Inputs'!B22,'O&amp;G Scenario Inputs'!M16+IF(M15&lt;-0.35,0.1,IF(M15&lt;-0.2,0.05,0)))</f>
        <v>0.6</v>
      </c>
      <c r="Q15" s="35">
        <f>'O&amp;G Scenario Inputs'!K16</f>
        <v>300</v>
      </c>
      <c r="R15" s="35">
        <f t="shared" si="3"/>
        <v>22.5</v>
      </c>
      <c r="S15" s="38">
        <f t="shared" si="4"/>
        <v>7.4999999999999997E-2</v>
      </c>
      <c r="T15" s="14" t="str">
        <f t="shared" si="5"/>
        <v>Severe</v>
      </c>
      <c r="U15" s="14" t="str">
        <f t="shared" si="6"/>
        <v>Revenue + carbon cost + transition capex</v>
      </c>
      <c r="V15" s="3" t="s">
        <v>591</v>
      </c>
    </row>
    <row r="16" spans="1:22">
      <c r="A16" s="1"/>
      <c r="B16" s="1"/>
      <c r="C16" s="1"/>
      <c r="D16" s="1"/>
      <c r="E16" s="1"/>
      <c r="F16" s="1"/>
      <c r="G16" s="1"/>
      <c r="H16" s="1"/>
      <c r="I16" s="1"/>
      <c r="J16" s="1"/>
      <c r="K16" s="1"/>
      <c r="L16" s="1"/>
      <c r="M16" s="1"/>
      <c r="N16" s="1"/>
      <c r="O16" s="1"/>
      <c r="P16" s="1"/>
      <c r="Q16" s="1"/>
      <c r="R16" s="1"/>
      <c r="S16" s="1"/>
      <c r="T16" s="1"/>
      <c r="U16" s="1"/>
      <c r="V16" s="1"/>
    </row>
    <row r="17" spans="1:22" ht="21.95" customHeight="1">
      <c r="A17" s="47" t="s">
        <v>592</v>
      </c>
      <c r="B17" s="47"/>
      <c r="C17" s="47"/>
      <c r="D17" s="47"/>
      <c r="E17" s="47"/>
      <c r="F17" s="47"/>
      <c r="G17" s="47"/>
      <c r="H17" s="47"/>
      <c r="I17" s="47"/>
      <c r="J17" s="47"/>
      <c r="K17" s="47"/>
      <c r="L17" s="47"/>
      <c r="M17" s="47"/>
      <c r="N17" s="47"/>
      <c r="O17" s="47"/>
      <c r="P17" s="47"/>
      <c r="Q17" s="47"/>
      <c r="R17" s="47"/>
      <c r="S17" s="47"/>
      <c r="T17" s="47"/>
      <c r="U17" s="47"/>
      <c r="V17" s="47"/>
    </row>
    <row r="18" spans="1:22" ht="45">
      <c r="A18" s="32" t="s">
        <v>593</v>
      </c>
      <c r="B18" s="32" t="s">
        <v>594</v>
      </c>
      <c r="C18" s="1"/>
      <c r="D18" s="1"/>
      <c r="E18" s="1"/>
      <c r="F18" s="1"/>
      <c r="G18" s="1"/>
      <c r="H18" s="1"/>
      <c r="I18" s="1"/>
      <c r="J18" s="1"/>
      <c r="K18" s="1"/>
      <c r="L18" s="1"/>
      <c r="M18" s="1"/>
      <c r="N18" s="1"/>
      <c r="O18" s="1"/>
      <c r="P18" s="1"/>
      <c r="Q18" s="1"/>
      <c r="R18" s="1"/>
      <c r="S18" s="1"/>
      <c r="T18" s="1"/>
      <c r="U18" s="1"/>
      <c r="V18" s="1"/>
    </row>
    <row r="19" spans="1:22" ht="57">
      <c r="A19" s="3" t="s">
        <v>595</v>
      </c>
      <c r="B19" s="3" t="s">
        <v>596</v>
      </c>
      <c r="C19" s="1"/>
      <c r="D19" s="1"/>
      <c r="E19" s="1"/>
      <c r="F19" s="1"/>
      <c r="G19" s="1"/>
      <c r="H19" s="1"/>
      <c r="I19" s="1"/>
      <c r="J19" s="1"/>
      <c r="K19" s="1"/>
      <c r="L19" s="1"/>
      <c r="M19" s="1"/>
      <c r="N19" s="1"/>
      <c r="O19" s="1"/>
      <c r="P19" s="1"/>
      <c r="Q19" s="1"/>
      <c r="R19" s="1"/>
      <c r="S19" s="1"/>
      <c r="T19" s="1"/>
      <c r="U19" s="1"/>
      <c r="V19" s="1"/>
    </row>
    <row r="20" spans="1:22" ht="42.75">
      <c r="A20" s="3" t="s">
        <v>597</v>
      </c>
      <c r="B20" s="3" t="s">
        <v>598</v>
      </c>
      <c r="C20" s="1"/>
      <c r="D20" s="1"/>
      <c r="E20" s="1"/>
      <c r="F20" s="1"/>
      <c r="G20" s="1"/>
      <c r="H20" s="1"/>
      <c r="I20" s="1"/>
      <c r="J20" s="1"/>
      <c r="K20" s="1"/>
      <c r="L20" s="1"/>
      <c r="M20" s="1"/>
      <c r="N20" s="1"/>
      <c r="O20" s="1"/>
      <c r="P20" s="1"/>
      <c r="Q20" s="1"/>
      <c r="R20" s="1"/>
      <c r="S20" s="1"/>
      <c r="T20" s="1"/>
      <c r="U20" s="1"/>
      <c r="V20" s="1"/>
    </row>
    <row r="21" spans="1:22" ht="57">
      <c r="A21" s="3" t="s">
        <v>507</v>
      </c>
      <c r="B21" s="3" t="s">
        <v>599</v>
      </c>
      <c r="C21" s="1"/>
      <c r="D21" s="1"/>
      <c r="E21" s="1"/>
      <c r="F21" s="1"/>
      <c r="G21" s="1"/>
      <c r="H21" s="1"/>
      <c r="I21" s="1"/>
      <c r="J21" s="1"/>
      <c r="K21" s="1"/>
      <c r="L21" s="1"/>
      <c r="M21" s="1"/>
      <c r="N21" s="1"/>
      <c r="O21" s="1"/>
      <c r="P21" s="1"/>
      <c r="Q21" s="1"/>
      <c r="R21" s="1"/>
      <c r="S21" s="1"/>
      <c r="T21" s="1"/>
      <c r="U21" s="1"/>
      <c r="V21" s="1"/>
    </row>
    <row r="22" spans="1:22" ht="42.75">
      <c r="A22" s="3" t="s">
        <v>600</v>
      </c>
      <c r="B22" s="3" t="s">
        <v>601</v>
      </c>
      <c r="C22" s="1"/>
      <c r="D22" s="1"/>
      <c r="E22" s="1"/>
      <c r="F22" s="1"/>
      <c r="G22" s="1"/>
      <c r="H22" s="1"/>
      <c r="I22" s="1"/>
      <c r="J22" s="1"/>
      <c r="K22" s="1"/>
      <c r="L22" s="1"/>
      <c r="M22" s="1"/>
      <c r="N22" s="1"/>
      <c r="O22" s="1"/>
      <c r="P22" s="1"/>
      <c r="Q22" s="1"/>
      <c r="R22" s="1"/>
      <c r="S22" s="1"/>
      <c r="T22" s="1"/>
      <c r="U22" s="1"/>
      <c r="V22" s="1"/>
    </row>
    <row r="23" spans="1:22" ht="71.25">
      <c r="A23" s="3" t="s">
        <v>602</v>
      </c>
      <c r="B23" s="3" t="s">
        <v>603</v>
      </c>
      <c r="C23" s="1"/>
      <c r="D23" s="1"/>
      <c r="E23" s="1"/>
      <c r="F23" s="1"/>
      <c r="G23" s="1"/>
      <c r="H23" s="1"/>
      <c r="I23" s="1"/>
      <c r="J23" s="1"/>
      <c r="K23" s="1"/>
      <c r="L23" s="1"/>
      <c r="M23" s="1"/>
      <c r="N23" s="1"/>
      <c r="O23" s="1"/>
      <c r="P23" s="1"/>
      <c r="Q23" s="1"/>
      <c r="R23" s="1"/>
      <c r="S23" s="1"/>
      <c r="T23" s="1"/>
      <c r="U23" s="1"/>
      <c r="V23" s="1"/>
    </row>
    <row r="24" spans="1:22" ht="42.75">
      <c r="A24" s="3" t="s">
        <v>604</v>
      </c>
      <c r="B24" s="3" t="s">
        <v>605</v>
      </c>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sheetData>
  <mergeCells count="3">
    <mergeCell ref="A1:V1"/>
    <mergeCell ref="A3:V4"/>
    <mergeCell ref="A17:V17"/>
  </mergeCells>
  <conditionalFormatting sqref="R7:R15">
    <cfRule type="dataBar" priority="4">
      <dataBar>
        <cfvo type="min"/>
        <cfvo type="max"/>
        <color rgb="FFE97132"/>
      </dataBar>
    </cfRule>
    <cfRule type="dataBar" priority="5">
      <dataBar>
        <cfvo type="min"/>
        <cfvo type="max"/>
        <color rgb="FFE97132"/>
      </dataBar>
      <extLst>
        <ext xmlns:x14="http://schemas.microsoft.com/office/spreadsheetml/2009/9/main" uri="{B025F937-C7B1-47D3-B67F-A62EFF666E3E}">
          <x14:id>{C71ACB66-7C7B-AAC3-3700-EC5F91304A91}</x14:id>
        </ext>
      </extLst>
    </cfRule>
  </conditionalFormatting>
  <conditionalFormatting sqref="T7:T15">
    <cfRule type="expression" dxfId="2" priority="1">
      <formula>T7="Severe"</formula>
    </cfRule>
    <cfRule type="expression" dxfId="1" priority="2">
      <formula>T7="Watch"</formula>
    </cfRule>
    <cfRule type="expression" dxfId="0" priority="3">
      <formula>T7="Stable"</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71ACB66-7C7B-AAC3-3700-EC5F91304A91}">
            <x14:dataBar>
              <x14:cfvo type="min"/>
              <x14:cfvo type="max"/>
              <x14:negativeFillColor auto="1"/>
              <x14:axisColor auto="1"/>
            </x14:dataBar>
          </x14:cfRule>
          <xm:sqref>R7:R15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40"/>
  <sheetViews>
    <sheetView tabSelected="1" workbookViewId="0">
      <selection activeCell="Q33" sqref="A1:Q33"/>
    </sheetView>
  </sheetViews>
  <sheetFormatPr defaultRowHeight="14.25"/>
  <cols>
    <col min="1" max="1" width="24" customWidth="1"/>
    <col min="2" max="2" width="22" customWidth="1"/>
    <col min="3" max="3" width="18" customWidth="1"/>
    <col min="4" max="4" width="14" customWidth="1"/>
    <col min="5" max="5" width="24" customWidth="1"/>
    <col min="6" max="6" width="20" customWidth="1"/>
    <col min="7" max="7" width="16" customWidth="1"/>
    <col min="8" max="8" width="44" customWidth="1"/>
    <col min="9" max="9" width="14" customWidth="1"/>
    <col min="10" max="10" width="18" customWidth="1"/>
    <col min="11" max="11" width="34" customWidth="1"/>
  </cols>
  <sheetData>
    <row r="1" spans="1:22" ht="27.95" customHeight="1">
      <c r="A1" s="46" t="s">
        <v>606</v>
      </c>
      <c r="B1" s="46"/>
      <c r="C1" s="46"/>
      <c r="D1" s="46"/>
      <c r="E1" s="46"/>
      <c r="F1" s="46"/>
      <c r="G1" s="46"/>
      <c r="H1" s="46"/>
      <c r="I1" s="46"/>
      <c r="J1" s="46"/>
      <c r="K1" s="46"/>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c r="A3" s="49" t="s">
        <v>607</v>
      </c>
      <c r="B3" s="49"/>
      <c r="C3" s="49"/>
      <c r="D3" s="49"/>
      <c r="E3" s="49"/>
      <c r="F3" s="49"/>
      <c r="G3" s="49"/>
      <c r="H3" s="49"/>
      <c r="I3" s="49"/>
      <c r="J3" s="49"/>
      <c r="K3" s="49"/>
      <c r="L3" s="1"/>
      <c r="M3" s="1"/>
      <c r="N3" s="1"/>
      <c r="O3" s="1"/>
      <c r="P3" s="1"/>
      <c r="Q3" s="1"/>
      <c r="R3" s="1"/>
      <c r="S3" s="1"/>
      <c r="T3" s="1"/>
      <c r="U3" s="1"/>
      <c r="V3" s="1"/>
    </row>
    <row r="4" spans="1:22">
      <c r="A4" s="49"/>
      <c r="B4" s="49"/>
      <c r="C4" s="49"/>
      <c r="D4" s="49"/>
      <c r="E4" s="49"/>
      <c r="F4" s="49"/>
      <c r="G4" s="49"/>
      <c r="H4" s="49"/>
      <c r="I4" s="49"/>
      <c r="J4" s="49"/>
      <c r="K4" s="49"/>
      <c r="L4" s="1"/>
      <c r="M4" s="1"/>
      <c r="N4" s="1"/>
      <c r="O4" s="1"/>
      <c r="P4" s="1"/>
      <c r="Q4" s="1"/>
      <c r="R4" s="1"/>
      <c r="S4" s="1"/>
      <c r="T4" s="1"/>
      <c r="U4" s="1"/>
      <c r="V4" s="1"/>
    </row>
    <row r="5" spans="1:22">
      <c r="A5" s="49"/>
      <c r="B5" s="49"/>
      <c r="C5" s="49"/>
      <c r="D5" s="49"/>
      <c r="E5" s="49"/>
      <c r="F5" s="49"/>
      <c r="G5" s="49"/>
      <c r="H5" s="49"/>
      <c r="I5" s="49"/>
      <c r="J5" s="49"/>
      <c r="K5" s="49"/>
      <c r="L5" s="1"/>
      <c r="M5" s="1"/>
      <c r="N5" s="1"/>
      <c r="O5" s="1"/>
      <c r="P5" s="1"/>
      <c r="Q5" s="1"/>
      <c r="R5" s="1"/>
      <c r="S5" s="1"/>
      <c r="T5" s="1"/>
      <c r="U5" s="1"/>
      <c r="V5" s="1"/>
    </row>
    <row r="6" spans="1:22">
      <c r="A6" s="1"/>
      <c r="B6" s="1"/>
      <c r="C6" s="1"/>
      <c r="D6" s="1"/>
      <c r="E6" s="1"/>
      <c r="F6" s="1"/>
      <c r="G6" s="1"/>
      <c r="H6" s="1"/>
      <c r="I6" s="1"/>
      <c r="J6" s="1"/>
      <c r="K6" s="1"/>
      <c r="L6" s="1"/>
      <c r="M6" s="1"/>
      <c r="N6" s="1"/>
      <c r="O6" s="1"/>
      <c r="P6" s="1"/>
      <c r="Q6" s="1"/>
      <c r="R6" s="1"/>
      <c r="S6" s="1"/>
      <c r="T6" s="1"/>
      <c r="U6" s="1"/>
      <c r="V6" s="1"/>
    </row>
    <row r="7" spans="1:22" ht="30">
      <c r="A7" s="32" t="s">
        <v>521</v>
      </c>
      <c r="B7" s="32" t="s">
        <v>608</v>
      </c>
      <c r="C7" s="32" t="s">
        <v>609</v>
      </c>
      <c r="D7" s="32" t="s">
        <v>610</v>
      </c>
      <c r="E7" s="32" t="s">
        <v>611</v>
      </c>
      <c r="F7" s="32" t="s">
        <v>612</v>
      </c>
      <c r="G7" s="32" t="s">
        <v>613</v>
      </c>
      <c r="H7" s="32" t="s">
        <v>614</v>
      </c>
      <c r="I7" s="32" t="s">
        <v>615</v>
      </c>
      <c r="J7" s="32" t="s">
        <v>616</v>
      </c>
      <c r="K7" s="32" t="s">
        <v>617</v>
      </c>
      <c r="L7" s="1"/>
      <c r="M7" s="1"/>
      <c r="N7" s="1"/>
      <c r="O7" s="1"/>
      <c r="P7" s="1"/>
      <c r="Q7" s="1"/>
      <c r="R7" s="1"/>
      <c r="S7" s="1"/>
      <c r="T7" s="1"/>
      <c r="U7" s="1"/>
      <c r="V7" s="1"/>
    </row>
    <row r="8" spans="1:22" ht="42.75">
      <c r="A8" s="3" t="s">
        <v>531</v>
      </c>
      <c r="B8" s="35">
        <f>SUM('O&amp;G Borrower Stress Test'!Q7,'O&amp;G Borrower Stress Test'!Q10,'O&amp;G Borrower Stress Test'!Q13)</f>
        <v>1600</v>
      </c>
      <c r="C8" s="35">
        <f>SUM('O&amp;G Borrower Stress Test'!R7,'O&amp;G Borrower Stress Test'!R10,'O&amp;G Borrower Stress Test'!R13)</f>
        <v>10.324999999999999</v>
      </c>
      <c r="D8" s="38">
        <f>C8/B8</f>
        <v>6.4531249999999997E-3</v>
      </c>
      <c r="E8" s="18">
        <v>31724</v>
      </c>
      <c r="F8" s="35">
        <f>D8*E8</f>
        <v>204.71893749999998</v>
      </c>
      <c r="G8" s="14" t="s">
        <v>618</v>
      </c>
      <c r="H8" s="14" t="s">
        <v>619</v>
      </c>
      <c r="I8" s="36">
        <f>AVERAGE('O&amp;G Borrower Stress Test'!J7,'O&amp;G Borrower Stress Test'!J10,'O&amp;G Borrower Stress Test'!J13)</f>
        <v>1.6346153846153848</v>
      </c>
      <c r="J8" s="36">
        <f>AVERAGE('O&amp;G Borrower Stress Test'!K7,'O&amp;G Borrower Stress Test'!K10,'O&amp;G Borrower Stress Test'!K13)</f>
        <v>7.9377104377104386</v>
      </c>
      <c r="K8" s="3" t="str">
        <f>IF(A8="Current Policies-style","Reference credit profile",IF(D8&lt;0.02,"Manageable stress signal",IF(D8&lt;0.05,"Material deterioration — deeper review","Severe deterioration — escalate")))</f>
        <v>Reference credit profile</v>
      </c>
      <c r="L8" s="1"/>
      <c r="M8" s="1"/>
      <c r="N8" s="1"/>
      <c r="O8" s="1"/>
      <c r="P8" s="1"/>
      <c r="Q8" s="1"/>
      <c r="R8" s="1"/>
      <c r="S8" s="1"/>
      <c r="T8" s="1"/>
      <c r="U8" s="1"/>
      <c r="V8" s="1"/>
    </row>
    <row r="9" spans="1:22" ht="42.75">
      <c r="A9" s="3" t="s">
        <v>535</v>
      </c>
      <c r="B9" s="35">
        <f>SUM('O&amp;G Borrower Stress Test'!Q8,'O&amp;G Borrower Stress Test'!Q11,'O&amp;G Borrower Stress Test'!Q14)</f>
        <v>1600</v>
      </c>
      <c r="C9" s="35">
        <f>SUM('O&amp;G Borrower Stress Test'!R8,'O&amp;G Borrower Stress Test'!R11,'O&amp;G Borrower Stress Test'!R14)</f>
        <v>53.625</v>
      </c>
      <c r="D9" s="38">
        <f>C9/B9</f>
        <v>3.3515625E-2</v>
      </c>
      <c r="E9" s="18">
        <v>31724</v>
      </c>
      <c r="F9" s="35">
        <f>D9*E9</f>
        <v>1063.2496874999999</v>
      </c>
      <c r="G9" s="14" t="s">
        <v>618</v>
      </c>
      <c r="H9" s="14" t="s">
        <v>619</v>
      </c>
      <c r="I9" s="36">
        <f>AVERAGE('O&amp;G Borrower Stress Test'!J8,'O&amp;G Borrower Stress Test'!J11,'O&amp;G Borrower Stress Test'!J14)</f>
        <v>0.5639218153211808</v>
      </c>
      <c r="J9" s="36">
        <f>AVERAGE('O&amp;G Borrower Stress Test'!K8,'O&amp;G Borrower Stress Test'!K11,'O&amp;G Borrower Stress Test'!K14)</f>
        <v>6.3549692234848481</v>
      </c>
      <c r="K9" s="3" t="str">
        <f>IF(A9="Current Policies-style","Reference credit profile",IF(D9&lt;0.02,"Manageable stress signal",IF(D9&lt;0.05,"Material deterioration — deeper review","Severe deterioration — escalate")))</f>
        <v>Material deterioration — deeper review</v>
      </c>
      <c r="L9" s="1"/>
      <c r="M9" s="1"/>
      <c r="N9" s="1"/>
      <c r="O9" s="1"/>
      <c r="P9" s="1"/>
      <c r="Q9" s="1"/>
      <c r="R9" s="1"/>
      <c r="S9" s="1"/>
      <c r="T9" s="1"/>
      <c r="U9" s="1"/>
      <c r="V9" s="1"/>
    </row>
    <row r="10" spans="1:22" ht="42.75">
      <c r="A10" s="3" t="s">
        <v>539</v>
      </c>
      <c r="B10" s="35">
        <f>SUM('O&amp;G Borrower Stress Test'!Q9,'O&amp;G Borrower Stress Test'!Q12,'O&amp;G Borrower Stress Test'!Q15)</f>
        <v>1600</v>
      </c>
      <c r="C10" s="35">
        <f>SUM('O&amp;G Borrower Stress Test'!R9,'O&amp;G Borrower Stress Test'!R12,'O&amp;G Borrower Stress Test'!R15)</f>
        <v>63.125</v>
      </c>
      <c r="D10" s="38">
        <f>C10/B10</f>
        <v>3.9453124999999999E-2</v>
      </c>
      <c r="E10" s="18">
        <v>31724</v>
      </c>
      <c r="F10" s="35">
        <f>D10*E10</f>
        <v>1251.6109374999999</v>
      </c>
      <c r="G10" s="14" t="s">
        <v>618</v>
      </c>
      <c r="H10" s="14" t="s">
        <v>619</v>
      </c>
      <c r="I10" s="36">
        <f>AVERAGE('O&amp;G Borrower Stress Test'!J9,'O&amp;G Borrower Stress Test'!J12,'O&amp;G Borrower Stress Test'!J15)</f>
        <v>-0.38964272419204055</v>
      </c>
      <c r="J10" s="36">
        <f>AVERAGE('O&amp;G Borrower Stress Test'!K9,'O&amp;G Borrower Stress Test'!K12,'O&amp;G Borrower Stress Test'!K15)</f>
        <v>4.4756392045454554</v>
      </c>
      <c r="K10" s="3" t="str">
        <f>IF(A10="Current Policies-style","Reference credit profile",IF(D10&lt;0.02,"Manageable stress signal",IF(D10&lt;0.05,"Material deterioration — deeper review","Severe deterioration — escalate")))</f>
        <v>Material deterioration — deeper review</v>
      </c>
      <c r="L10" s="1"/>
      <c r="M10" s="1"/>
      <c r="N10" s="1"/>
      <c r="O10" s="1"/>
      <c r="P10" s="1"/>
      <c r="Q10" s="1"/>
      <c r="R10" s="1"/>
      <c r="S10" s="1"/>
      <c r="T10" s="1"/>
      <c r="U10" s="1"/>
      <c r="V10" s="1"/>
    </row>
    <row r="11" spans="1:22">
      <c r="A11" s="1"/>
      <c r="B11" s="1"/>
      <c r="C11" s="1"/>
      <c r="D11" s="1"/>
      <c r="E11" s="1"/>
      <c r="F11" s="1"/>
      <c r="G11" s="1"/>
      <c r="H11" s="1"/>
      <c r="I11" s="1"/>
      <c r="J11" s="1"/>
      <c r="K11" s="1"/>
      <c r="L11" s="1"/>
      <c r="M11" s="1"/>
      <c r="N11" s="1"/>
      <c r="O11" s="1"/>
      <c r="P11" s="1"/>
      <c r="Q11" s="1"/>
      <c r="R11" s="1"/>
      <c r="S11" s="1"/>
      <c r="T11" s="1"/>
      <c r="U11" s="1"/>
      <c r="V11" s="1"/>
    </row>
    <row r="12" spans="1:22" ht="21.95" customHeight="1">
      <c r="A12" s="47" t="s">
        <v>620</v>
      </c>
      <c r="B12" s="47"/>
      <c r="C12" s="47"/>
      <c r="D12" s="47"/>
      <c r="E12" s="47"/>
      <c r="F12" s="47"/>
      <c r="G12" s="47"/>
      <c r="H12" s="47"/>
      <c r="I12" s="47"/>
      <c r="J12" s="47"/>
      <c r="K12" s="47"/>
      <c r="L12" s="1"/>
      <c r="M12" s="1"/>
      <c r="N12" s="1"/>
      <c r="O12" s="1"/>
      <c r="P12" s="1"/>
      <c r="Q12" s="1"/>
      <c r="R12" s="1"/>
      <c r="S12" s="1"/>
      <c r="T12" s="1"/>
      <c r="U12" s="1"/>
      <c r="V12" s="1"/>
    </row>
    <row r="13" spans="1:22" ht="60">
      <c r="A13" s="32" t="s">
        <v>621</v>
      </c>
      <c r="B13" s="32" t="s">
        <v>622</v>
      </c>
      <c r="C13" s="1"/>
      <c r="D13" s="1"/>
      <c r="E13" s="1"/>
      <c r="F13" s="1"/>
      <c r="G13" s="1"/>
      <c r="H13" s="1"/>
      <c r="I13" s="1"/>
      <c r="J13" s="1"/>
      <c r="K13" s="1"/>
      <c r="L13" s="1"/>
      <c r="M13" s="1"/>
      <c r="N13" s="1"/>
      <c r="O13" s="1"/>
      <c r="P13" s="1"/>
      <c r="Q13" s="1"/>
      <c r="R13" s="1"/>
      <c r="S13" s="1"/>
      <c r="T13" s="1"/>
      <c r="U13" s="1"/>
      <c r="V13" s="1"/>
    </row>
    <row r="14" spans="1:22" ht="42.75">
      <c r="A14" s="3" t="s">
        <v>623</v>
      </c>
      <c r="B14" s="3" t="s">
        <v>624</v>
      </c>
      <c r="C14" s="1"/>
      <c r="D14" s="1"/>
      <c r="E14" s="1"/>
      <c r="F14" s="1"/>
      <c r="G14" s="1"/>
      <c r="H14" s="1"/>
      <c r="I14" s="1"/>
      <c r="J14" s="1"/>
      <c r="K14" s="1"/>
      <c r="L14" s="1"/>
      <c r="M14" s="1"/>
      <c r="N14" s="1"/>
      <c r="O14" s="1"/>
      <c r="P14" s="1"/>
      <c r="Q14" s="1"/>
      <c r="R14" s="1"/>
      <c r="S14" s="1"/>
      <c r="T14" s="1"/>
      <c r="U14" s="1"/>
      <c r="V14" s="1"/>
    </row>
    <row r="15" spans="1:22" ht="42.75">
      <c r="A15" s="3" t="s">
        <v>625</v>
      </c>
      <c r="B15" s="3" t="s">
        <v>626</v>
      </c>
      <c r="C15" s="1"/>
      <c r="D15" s="1"/>
      <c r="E15" s="1"/>
      <c r="F15" s="1"/>
      <c r="G15" s="1"/>
      <c r="H15" s="1"/>
      <c r="I15" s="1"/>
      <c r="J15" s="1"/>
      <c r="K15" s="1"/>
      <c r="L15" s="1"/>
      <c r="M15" s="1"/>
      <c r="N15" s="1"/>
      <c r="O15" s="1"/>
      <c r="P15" s="1"/>
      <c r="Q15" s="1"/>
      <c r="R15" s="1"/>
      <c r="S15" s="1"/>
      <c r="T15" s="1"/>
      <c r="U15" s="1"/>
      <c r="V15" s="1"/>
    </row>
    <row r="16" spans="1:22" ht="57">
      <c r="A16" s="3" t="s">
        <v>627</v>
      </c>
      <c r="B16" s="3" t="s">
        <v>628</v>
      </c>
      <c r="C16" s="1"/>
      <c r="D16" s="1"/>
      <c r="E16" s="1"/>
      <c r="F16" s="1"/>
      <c r="G16" s="1"/>
      <c r="H16" s="1"/>
      <c r="I16" s="1"/>
      <c r="J16" s="1"/>
      <c r="K16" s="1"/>
      <c r="L16" s="1"/>
      <c r="M16" s="1"/>
      <c r="N16" s="1"/>
      <c r="O16" s="1"/>
      <c r="P16" s="1"/>
      <c r="Q16" s="1"/>
      <c r="R16" s="1"/>
      <c r="S16" s="1"/>
      <c r="T16" s="1"/>
      <c r="U16" s="1"/>
      <c r="V16" s="1"/>
    </row>
    <row r="17" spans="1:22" ht="57">
      <c r="A17" s="3" t="s">
        <v>629</v>
      </c>
      <c r="B17" s="3" t="s">
        <v>630</v>
      </c>
      <c r="C17" s="1"/>
      <c r="D17" s="1"/>
      <c r="E17" s="1"/>
      <c r="F17" s="1"/>
      <c r="G17" s="1"/>
      <c r="H17" s="1"/>
      <c r="I17" s="1"/>
      <c r="J17" s="1"/>
      <c r="K17" s="1"/>
      <c r="L17" s="1"/>
      <c r="M17" s="1"/>
      <c r="N17" s="1"/>
      <c r="O17" s="1"/>
      <c r="P17" s="1"/>
      <c r="Q17" s="1"/>
      <c r="R17" s="1"/>
      <c r="S17" s="1"/>
      <c r="T17" s="1"/>
      <c r="U17" s="1"/>
      <c r="V17" s="1"/>
    </row>
    <row r="18" spans="1:22" ht="57">
      <c r="A18" s="3" t="s">
        <v>631</v>
      </c>
      <c r="B18" s="3" t="s">
        <v>632</v>
      </c>
      <c r="C18" s="1"/>
      <c r="D18" s="1"/>
      <c r="E18" s="1"/>
      <c r="F18" s="1"/>
      <c r="G18" s="1"/>
      <c r="H18" s="1"/>
      <c r="I18" s="1"/>
      <c r="J18" s="1"/>
      <c r="K18" s="1"/>
      <c r="L18" s="1"/>
      <c r="M18" s="1"/>
      <c r="N18" s="1"/>
      <c r="O18" s="1"/>
      <c r="P18" s="1"/>
      <c r="Q18" s="1"/>
      <c r="R18" s="1"/>
      <c r="S18" s="1"/>
      <c r="T18" s="1"/>
      <c r="U18" s="1"/>
      <c r="V18" s="1"/>
    </row>
    <row r="19" spans="1:22" ht="57">
      <c r="A19" s="3" t="s">
        <v>633</v>
      </c>
      <c r="B19" s="3" t="s">
        <v>634</v>
      </c>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sheetData>
  <mergeCells count="3">
    <mergeCell ref="A1:K1"/>
    <mergeCell ref="A3:K5"/>
    <mergeCell ref="A12:K12"/>
  </mergeCells>
  <conditionalFormatting sqref="D8:D10">
    <cfRule type="colorScale" priority="1">
      <colorScale>
        <cfvo type="min"/>
        <cfvo type="percentile" val="50"/>
        <cfvo type="max"/>
        <color rgb="FFD9EAD3"/>
        <color rgb="FFFFF2CC"/>
        <color rgb="FFF4CCCC"/>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Source Register</vt:lpstr>
      <vt:lpstr>Financial Baseline</vt:lpstr>
      <vt:lpstr>Climate Risk Framework</vt:lpstr>
      <vt:lpstr>Wholesale Credit Heatmap</vt:lpstr>
      <vt:lpstr>Carbon Intensity Targets</vt:lpstr>
      <vt:lpstr>Financed Emissions</vt:lpstr>
      <vt:lpstr>Nature Social Risk</vt:lpstr>
      <vt:lpstr>Risk Priority</vt:lpstr>
      <vt:lpstr>QA Controls</vt:lpstr>
      <vt:lpstr>Analyst Questions</vt:lpstr>
      <vt:lpstr>Dashboard</vt:lpstr>
      <vt:lpstr>Credit Risk Concepts</vt:lpstr>
      <vt:lpstr>O&amp;G Scenario Inputs</vt:lpstr>
      <vt:lpstr>O&amp;G Borrower Stress Test</vt:lpstr>
      <vt:lpstr>O&amp;G Portfolio Translation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 Veisi</dc:creator>
  <cp:lastModifiedBy>Hadi Veisi</cp:lastModifiedBy>
  <dcterms:created xsi:type="dcterms:W3CDTF">2026-08-07T23:26:30Z</dcterms:created>
  <dcterms:modified xsi:type="dcterms:W3CDTF">2026-08-09T02:00:47Z</dcterms:modified>
</cp:coreProperties>
</file>